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cklog" sheetId="1" r:id="rId5"/>
    <sheet state="visible" name="Resumen" sheetId="2" r:id="rId6"/>
  </sheets>
  <definedNames/>
  <calcPr/>
</workbook>
</file>

<file path=xl/sharedStrings.xml><?xml version="1.0" encoding="utf-8"?>
<sst xmlns="http://schemas.openxmlformats.org/spreadsheetml/2006/main" count="1190" uniqueCount="488">
  <si>
    <t>Etapa</t>
  </si>
  <si>
    <t>Fecha evaluación</t>
  </si>
  <si>
    <t>Horas estimadas (tareas)</t>
  </si>
  <si>
    <t>Foco principal</t>
  </si>
  <si>
    <t>Etapa 1</t>
  </si>
  <si>
    <t>04-09-2026</t>
  </si>
  <si>
    <t>Problema, investigación, objetivos y requerimientos</t>
  </si>
  <si>
    <t>Etapa 2</t>
  </si>
  <si>
    <t>02-10-2026</t>
  </si>
  <si>
    <t>Diseño técnico, arquitectura, protocolo, implementación inicial y retroalimentación.</t>
  </si>
  <si>
    <t>Etapa 3</t>
  </si>
  <si>
    <t>30-10-2026</t>
  </si>
  <si>
    <t>Implementación observabilidad, pruebas piloto y validación preliminar</t>
  </si>
  <si>
    <t>Etapa 4</t>
  </si>
  <si>
    <t>04-12-2026</t>
  </si>
  <si>
    <t>Campaña definitiva, análisis, informe final y defensa</t>
  </si>
  <si>
    <t>Indicador</t>
  </si>
  <si>
    <t>Valor</t>
  </si>
  <si>
    <t>Total de horas estimadas</t>
  </si>
  <si>
    <t>Tareas estimadas</t>
  </si>
  <si>
    <t>ID</t>
  </si>
  <si>
    <t>Tipo</t>
  </si>
  <si>
    <t>Título / Elemento</t>
  </si>
  <si>
    <t>Objetivos</t>
  </si>
  <si>
    <t>Prioridad</t>
  </si>
  <si>
    <t>Esfuerzo estimado (h)</t>
  </si>
  <si>
    <t>Esfuerzo real (h)</t>
  </si>
  <si>
    <t>Criterios de aceptación / entregables</t>
  </si>
  <si>
    <t>Estado</t>
  </si>
  <si>
    <t>EP-01</t>
  </si>
  <si>
    <t>Épica</t>
  </si>
  <si>
    <t>Etapa 1: Definición, investigación y análisis de requerimientos</t>
  </si>
  <si>
    <t>OG, OE1, OE2, OE3, OE4</t>
  </si>
  <si>
    <t>Alta</t>
  </si>
  <si>
    <t>Problema, estado del arte, objetivos, requerimientos y alternativas definidos y respaldados.</t>
  </si>
  <si>
    <t>Realizado</t>
  </si>
  <si>
    <t>HU-01</t>
  </si>
  <si>
    <t>Historia</t>
  </si>
  <si>
    <t>Investigación bibliográfica y estado del arte</t>
  </si>
  <si>
    <t>OG, OE1, OE2, OE4</t>
  </si>
  <si>
    <t>Conjunto de fuentes académicas y técnicas organizado en BibTeX y utilizado en el informe.</t>
  </si>
  <si>
    <t>T-01.1</t>
  </si>
  <si>
    <t>Tarea</t>
  </si>
  <si>
    <t>Investigar comparaciones de distribuciones ligeras de Kubernetes</t>
  </si>
  <si>
    <t>OE1, OE2</t>
  </si>
  <si>
    <t>Fichas bibliográficas sobre K3s, MicroK8s y métricas de CPU, memoria, throughput y latencia.</t>
  </si>
  <si>
    <t>T-01.2</t>
  </si>
  <si>
    <t>Investigar mecanismos HA y almacenamiento de estado (etcd vs Dqlite)</t>
  </si>
  <si>
    <t>Fichas sobre quórum, replicación, recuperación y diferencias arquitectónicas.</t>
  </si>
  <si>
    <t>T-01.3</t>
  </si>
  <si>
    <t>Investigar observabilidad energética y niveles de medición</t>
  </si>
  <si>
    <t>OE2</t>
  </si>
  <si>
    <t>Antecedentes sobre Scaphandre, RAPL/powercap, Kepler y limitaciones de atribución energética.</t>
  </si>
  <si>
    <t>T-01.4</t>
  </si>
  <si>
    <t>Investigar infraestructura IaaS y limitaciones de comparación energética</t>
  </si>
  <si>
    <t>OE4</t>
  </si>
  <si>
    <t>Media</t>
  </si>
  <si>
    <t>Fuentes NIST y/o literatura que delimiten la comparación local frente a nube pública.</t>
  </si>
  <si>
    <t>HU-02</t>
  </si>
  <si>
    <t>Redacción de problema, partes interesadas y brechas</t>
  </si>
  <si>
    <t>OG</t>
  </si>
  <si>
    <t>Sección de introducción con problema, relevancia, stakeholders y brechas claramente articuladas.</t>
  </si>
  <si>
    <t>T-02.1</t>
  </si>
  <si>
    <t>Redacción: Introducción y definición del problema</t>
  </si>
  <si>
    <t>Problema formulado y justificado mediante literatura pertinente.</t>
  </si>
  <si>
    <t>T-02.2</t>
  </si>
  <si>
    <t>Redacción: percepción de las partes interesadas basada en literatura</t>
  </si>
  <si>
    <t>Necesidades de administradores, sostenibilidad/SRE e investigación explicitadas sin presentarlas como entrevistas.</t>
  </si>
  <si>
    <t>T-02.3</t>
  </si>
  <si>
    <t>Redacción: brechas de investigación y pregunta de investigación</t>
  </si>
  <si>
    <t>OG, OE2, OE3, OE4</t>
  </si>
  <si>
    <t>Cuatro brechas y pregunta de investigación coherentes con el alcance.</t>
  </si>
  <si>
    <t>HU-03</t>
  </si>
  <si>
    <t>Definición de objetivos y trazabilidad</t>
  </si>
  <si>
    <t>Objetivo general, objetivos específicos, criterios SMART y trazabilidad alineados.</t>
  </si>
  <si>
    <t>T-03.1</t>
  </si>
  <si>
    <t>Redacción y revisión del objetivo general y objetivos específicos</t>
  </si>
  <si>
    <t>Objetivos formulados con verbos verificables y alcance delimitado.</t>
  </si>
  <si>
    <t>T-03.2</t>
  </si>
  <si>
    <t>Redacción de criterios SMART</t>
  </si>
  <si>
    <t>Criterios Specific, Measurable, Achievable, Relevant y Time-bound documentados.</t>
  </si>
  <si>
    <t>T-03.3</t>
  </si>
  <si>
    <t>Construcción y revisión de matriz de trazabilidad</t>
  </si>
  <si>
    <t>Cada brecha vinculada con objetivos e indicadores de cumplimiento.</t>
  </si>
  <si>
    <t>HU-04</t>
  </si>
  <si>
    <t>Análisis y justificación de requerimientos</t>
  </si>
  <si>
    <t>OE1, OE2, OE3, OE4</t>
  </si>
  <si>
    <t>Requerimientos funcionales, no funcionales y experimentales documentados y justificados.</t>
  </si>
  <si>
    <t>T-04.1</t>
  </si>
  <si>
    <t>Redacción de requerimientos de arquitectura, HA y VIP</t>
  </si>
  <si>
    <t>OE1</t>
  </si>
  <si>
    <t>RF-01 a RF-05 formulados con criterios de aceptación verificables.</t>
  </si>
  <si>
    <t>T-04.2</t>
  </si>
  <si>
    <t>Redacción de requerimientos de automatización y reproducibilidad</t>
  </si>
  <si>
    <t>RNF-01 a RNF-04 definidos para Terraform, Ansible, homogeneidad y versionado.</t>
  </si>
  <si>
    <t>T-04.3</t>
  </si>
  <si>
    <t>Redacción de requerimientos de observabilidad energética</t>
  </si>
  <si>
    <t>RE-01 a RE-04 definidos con nivel de medición explícito.</t>
  </si>
  <si>
    <t>T-04.4</t>
  </si>
  <si>
    <t>Redacción de requerimientos de observabilidad de recursos y rendimiento</t>
  </si>
  <si>
    <t>OE2, OE3</t>
  </si>
  <si>
    <t>RO-01 a RO-08 definidos para CPU, RAM, Prometheus, throughput, latencia, errores y sincronización.</t>
  </si>
  <si>
    <t>T-04.5</t>
  </si>
  <si>
    <t>Redacción de requerimientos de experimentación, resiliencia y nube pública</t>
  </si>
  <si>
    <t>OE2, OE3, OE4</t>
  </si>
  <si>
    <t>REX-01 a REX-07, RR-01 a RR-04 y RC-01 a RC-03 definidos.</t>
  </si>
  <si>
    <t>HU-05</t>
  </si>
  <si>
    <t>Evaluación crítica de alternativas técnicas</t>
  </si>
  <si>
    <t>Alternativas técnicas comparadas y decisión final justificada.</t>
  </si>
  <si>
    <t>T-05.1</t>
  </si>
  <si>
    <t>Comparar K3s/MicroK8s frente a Kubernetes estándar</t>
  </si>
  <si>
    <t>Alcance de dos distribuciones ligeras justificado.</t>
  </si>
  <si>
    <t>T-05.2</t>
  </si>
  <si>
    <t>Comparar Scaphandre frente a alternativas de observabilidad energética</t>
  </si>
  <si>
    <t>Selección de medición a nivel de host justificada, sin atribución innecesaria a contenedores.</t>
  </si>
  <si>
    <t>T-05.3</t>
  </si>
  <si>
    <t>Justificar Node Exporter y Prometheus para recursos</t>
  </si>
  <si>
    <t>Separación clara entre energía, utilización de recursos y almacenamiento temporal.</t>
  </si>
  <si>
    <t>T-05.4</t>
  </si>
  <si>
    <t>Justificar k6 para carga y métricas de rendimiento</t>
  </si>
  <si>
    <t>Selección de herramienta respaldada por sus métricas de solicitudes, duración y errores.</t>
  </si>
  <si>
    <t>T-05.5</t>
  </si>
  <si>
    <t>Justificar Keepalived/VRRP y Terraform/Ansible</t>
  </si>
  <si>
    <t>Decisiones de acceso redundante y automatización justificadas.</t>
  </si>
  <si>
    <t>EP-02</t>
  </si>
  <si>
    <t>Etapa 2: Diseño experimental y técnico</t>
  </si>
  <si>
    <t>OE1, OE2, OE3</t>
  </si>
  <si>
    <t>Diseño de arquitectura, instrumentación, protocolo, datos y documentación listos para implementar.</t>
  </si>
  <si>
    <t>Pendiente</t>
  </si>
  <si>
    <t>HU-06</t>
  </si>
  <si>
    <t>Diseño de infraestructura virtualizada y red</t>
  </si>
  <si>
    <t>Diseño reproducible de 6 VMs, red, VIP y recursos homogéneos.</t>
  </si>
  <si>
    <t>T-06.1</t>
  </si>
  <si>
    <t>Diseñar topología QEMU/KVM para 6 VMs</t>
  </si>
  <si>
    <t>Diagrama con 3 nodos K3s y 3 nodos MicroK8s y recursos equivalentes.</t>
  </si>
  <si>
    <t>T-06.2</t>
  </si>
  <si>
    <t>Definir CPU, RAM, almacenamiento y sistema operativo homogéneos</t>
  </si>
  <si>
    <t>Especificaciones técnicas registradas como referencia experimental.</t>
  </si>
  <si>
    <t>T-06.3</t>
  </si>
  <si>
    <t>Diseñar direccionamiento, redes y VIP</t>
  </si>
  <si>
    <t>Plan de direccionamiento documentado con IPs de nodos y VIP.</t>
  </si>
  <si>
    <t>HU-07</t>
  </si>
  <si>
    <t>Diseño de la arquitectura de observabilidad</t>
  </si>
  <si>
    <t>Fuentes, flujo de datos y responsabilidades de cada herramienta definidos.</t>
  </si>
  <si>
    <t>T-07.1</t>
  </si>
  <si>
    <t>Diseñar medición energética con Scaphandre + RAPL/powercap</t>
  </si>
  <si>
    <t>Fuente energética, dominio y ventana de medición definidos.</t>
  </si>
  <si>
    <t>T-07.2</t>
  </si>
  <si>
    <t>Diseñar recolección de CPU y RAM con Node Exporter</t>
  </si>
  <si>
    <t>Métricas y frecuencia de consulta seleccionadas.</t>
  </si>
  <si>
    <t>T-07.3</t>
  </si>
  <si>
    <t>Diseñar almacenamiento y consultas en Prometheus</t>
  </si>
  <si>
    <t>Métricas, etiquetas y retención necesarias definidas.</t>
  </si>
  <si>
    <t>T-07.4</t>
  </si>
  <si>
    <t>Diseñar instrumentación de rendimiento con k6</t>
  </si>
  <si>
    <t>Métricas de throughput, latencia, errores y resultados definidas.</t>
  </si>
  <si>
    <t>T-07.5</t>
  </si>
  <si>
    <t>Diseñar observación de resiliencia y sincronización temporal</t>
  </si>
  <si>
    <t>Eventos, logs, marcas temporales y criterios de inicio/recuperación definidos.</t>
  </si>
  <si>
    <t>HU-08</t>
  </si>
  <si>
    <t>Diseño del protocolo experimental</t>
  </si>
  <si>
    <t>Matriz de escenarios, repeticiones, ventanas y criterios de calidad aprobada.</t>
  </si>
  <si>
    <t>T-08.1</t>
  </si>
  <si>
    <t>Definir escenarios de carga: idle, media y alta</t>
  </si>
  <si>
    <t>Carga, duración, VUs y criterio de estabilización documentados.</t>
  </si>
  <si>
    <t>T-08.2</t>
  </si>
  <si>
    <t>Definir número de repeticiones y aleatorización/secuencia</t>
  </si>
  <si>
    <t>OE3</t>
  </si>
  <si>
    <t>Plan de réplicas y orden de ejecución definido para reducir sesgos.</t>
  </si>
  <si>
    <t>T-08.3</t>
  </si>
  <si>
    <t>Definir ventanas de medición y sincronización de datos</t>
  </si>
  <si>
    <t>Reglas para alinear Scaphandre, Prometheus y k6 documentadas.</t>
  </si>
  <si>
    <t>T-08.4</t>
  </si>
  <si>
    <t>Definir protocolo de fallo controlado de un nodo</t>
  </si>
  <si>
    <t>Procedimiento seguro con criterios de inicio, detección, recuperación e impacto.</t>
  </si>
  <si>
    <t>T-08.5</t>
  </si>
  <si>
    <t>Definir plan estadístico preliminar</t>
  </si>
  <si>
    <t>Medidas descriptivas, supuestos y criterios para seleccionar pruebas.</t>
  </si>
  <si>
    <t>HU-09</t>
  </si>
  <si>
    <t>Diseño de documentación y repositorio</t>
  </si>
  <si>
    <t>Diagramas, estructura del repositorio y registro de decisiones definidos.</t>
  </si>
  <si>
    <t>T-09.1</t>
  </si>
  <si>
    <t>Diseñar diagrama de arquitectura general</t>
  </si>
  <si>
    <t>Diagrama de infraestructura, clústeres, observabilidad y carga.</t>
  </si>
  <si>
    <t>T-09.2</t>
  </si>
  <si>
    <t>Definir estructura del repositorio Git</t>
  </si>
  <si>
    <t>Carpetas para Terraform, Ansible, Kubernetes, k6, datos y análisis.</t>
  </si>
  <si>
    <t>T-09.3</t>
  </si>
  <si>
    <t>Documentar decisiones técnicas y criterios de aceptación</t>
  </si>
  <si>
    <t>OG, OE1, OE2</t>
  </si>
  <si>
    <t>Registro inicial de decisiones con justificación y relación con requisitos.</t>
  </si>
  <si>
    <t>EP-03</t>
  </si>
  <si>
    <t>Etapa 2: Diseño e incorporación de retroalimentación</t>
  </si>
  <si>
    <t>OG, OE1, OE2, OE3</t>
  </si>
  <si>
    <t>Retroalimentación de Etapa 1 incorporada y diseño preparado para implementación.</t>
  </si>
  <si>
    <t>HU-10</t>
  </si>
  <si>
    <t>Aplicación de retroalimentación del profesor guía</t>
  </si>
  <si>
    <t>Cambios trazables en objetivos, requisitos, diseño y backlog.</t>
  </si>
  <si>
    <t>T-10.1</t>
  </si>
  <si>
    <t>Revisar observaciones recibidas en Etapa 1</t>
  </si>
  <si>
    <t>Lista de observaciones y acciones de respuesta documentada.</t>
  </si>
  <si>
    <t>T-10.2</t>
  </si>
  <si>
    <t>Actualizar informe, requerimientos y backlog según retroalimentación</t>
  </si>
  <si>
    <t>Cambios incorporados y registrados en Git.</t>
  </si>
  <si>
    <t>EP-04</t>
  </si>
  <si>
    <t>Etapa 2: Implementación de infraestructura y Alta Disponibilidad</t>
  </si>
  <si>
    <t>Infraestructura virtualizada y ambos clústeres HA implementados y operativos.</t>
  </si>
  <si>
    <t>HU-11</t>
  </si>
  <si>
    <t>Automatización de infraestructura con Terraform</t>
  </si>
  <si>
    <t>Seis VMs reproducibles con red y recursos homogéneos.</t>
  </si>
  <si>
    <t>T-11.1</t>
  </si>
  <si>
    <t>Configurar provider de Terraform para QEMU/KVM (libvirt)</t>
  </si>
  <si>
    <t>Terraform conecta y administra correctamente el proveedor.</t>
  </si>
  <si>
    <t>T-11.2</t>
  </si>
  <si>
    <t>Crear redes virtuales y direccionamiento de nodos</t>
  </si>
  <si>
    <t>Redes operativas y direcciones reservadas para nodos y VIP.</t>
  </si>
  <si>
    <t>T-11.3</t>
  </si>
  <si>
    <t>Provisionar 3 VMs para K3s y 3 VMs para MicroK8s</t>
  </si>
  <si>
    <t>Seis VMs operativas con especificaciones equivalentes.</t>
  </si>
  <si>
    <t>T-11.4</t>
  </si>
  <si>
    <t>Generar/registrar inventario para Ansible</t>
  </si>
  <si>
    <t>Inventario reproducible con grupos K3s y MicroK8s.</t>
  </si>
  <si>
    <t>HU-12</t>
  </si>
  <si>
    <t>Configuración base de nodos con Ansible</t>
  </si>
  <si>
    <t>Seis nodos estandarizados y listos para instalar Kubernetes.</t>
  </si>
  <si>
    <t>T-12.1</t>
  </si>
  <si>
    <t>Configurar hostname, SSH, paquetes base y sincronización</t>
  </si>
  <si>
    <t>Todos los nodos accesibles y con configuración base uniforme.</t>
  </si>
  <si>
    <t>T-12.2</t>
  </si>
  <si>
    <t>Configurar Swap/cgroups y parámetros necesarios del SO</t>
  </si>
  <si>
    <t>Configuración validada en las seis VMs.</t>
  </si>
  <si>
    <t>T-12.3</t>
  </si>
  <si>
    <t>Configurar conectividad y reglas de red inter-nodo</t>
  </si>
  <si>
    <t>Comunicación necesaria para los planos de control habilitada.</t>
  </si>
  <si>
    <t>HU-13</t>
  </si>
  <si>
    <t>Implementación de K3s en Alta Disponibilidad</t>
  </si>
  <si>
    <t>Clúster K3s de tres servidores con etcd operativo.</t>
  </si>
  <si>
    <t>T-13.1</t>
  </si>
  <si>
    <t>Instalar e inicializar primer servidor K3s con etcd embebido</t>
  </si>
  <si>
    <t>Primer nodo operativo y datos de acceso disponibles.</t>
  </si>
  <si>
    <t>T-13.2</t>
  </si>
  <si>
    <t>Unir los dos servidores restantes al clúster</t>
  </si>
  <si>
    <t>Tres servidores en estado Ready.</t>
  </si>
  <si>
    <t>T-13.3</t>
  </si>
  <si>
    <t>Validar salud, quórum y funcionamiento del clúster</t>
  </si>
  <si>
    <t>Comandos de validación muestran clúster estable.</t>
  </si>
  <si>
    <t>HU-14</t>
  </si>
  <si>
    <t>Implementación de MicroK8s en Alta Disponibilidad</t>
  </si>
  <si>
    <t>Clúster MicroK8s de tres nodos con Dqlite operativo.</t>
  </si>
  <si>
    <t>T-14.1</t>
  </si>
  <si>
    <t>Instalar MicroK8s en los tres nodos</t>
  </si>
  <si>
    <t>Tres instalaciones uniformes y accesibles.</t>
  </si>
  <si>
    <t>T-14.2</t>
  </si>
  <si>
    <t>Unir los nodos y habilitar/verificar HA</t>
  </si>
  <si>
    <t>Tres nodos unidos y HA operativa.</t>
  </si>
  <si>
    <t>T-14.3</t>
  </si>
  <si>
    <t>Validar estado de Dqlite, quórum y servicios</t>
  </si>
  <si>
    <t>Clúster estable y comandos de validación documentados.</t>
  </si>
  <si>
    <t>HU-15</t>
  </si>
  <si>
    <t>Implementación de acceso redundante mediante kube-vip</t>
  </si>
  <si>
    <t>VIP operativa y con migración ante fallo controlado.</t>
  </si>
  <si>
    <t>T-15.1</t>
  </si>
  <si>
    <t>Instalar y configurar kube-vip en los nodos del plano de control</t>
  </si>
  <si>
    <t>VIP disponible y configuración reproducible.</t>
  </si>
  <si>
    <t>T-15.2</t>
  </si>
  <si>
    <t>Validar migración de VIP ante indisponibilidad de un nodo</t>
  </si>
  <si>
    <t>VIP cambia al nodo de respaldo sin pérdida prolongada del acceso.</t>
  </si>
  <si>
    <t>EP-05</t>
  </si>
  <si>
    <t>Etapa 3: Implementación de observabilidad y aplicación</t>
  </si>
  <si>
    <t>Stack de observabilidad operativo y aplicación de referencia preparada.</t>
  </si>
  <si>
    <t>HU-16</t>
  </si>
  <si>
    <t>Implementación de medición energética</t>
  </si>
  <si>
    <t>Scaphandre registra energía y potencia del host durante pruebas.</t>
  </si>
  <si>
    <t>T-16.1</t>
  </si>
  <si>
    <t>Instalar y configurar Scaphandre en el host físico</t>
  </si>
  <si>
    <t>Scaphandre ejecuta y expone métricas energéticas.</t>
  </si>
  <si>
    <t>T-16.2</t>
  </si>
  <si>
    <t>Verificar disponibilidad de RAPL/powercap y dominios</t>
  </si>
  <si>
    <t>Contadores accesibles y dominio energético documentado.</t>
  </si>
  <si>
    <t>T-16.3</t>
  </si>
  <si>
    <t>Configurar captura de energía y potencia durante una prueba</t>
  </si>
  <si>
    <t>Datos de energía/potencia registrados para una ventana experimental.</t>
  </si>
  <si>
    <t>T-16.4</t>
  </si>
  <si>
    <t>Validar Scaphandre contra lectura directa de los contadores</t>
  </si>
  <si>
    <t>Consistencia comprobada durante una ventana común.</t>
  </si>
  <si>
    <t>HU-17</t>
  </si>
  <si>
    <t>Implementación de monitoreo de recursos y almacenamiento temporal</t>
  </si>
  <si>
    <t>CPU y RAM disponibles en Prometheus para ambos entornos.</t>
  </si>
  <si>
    <t>T-17.1</t>
  </si>
  <si>
    <t>Instalar Node Exporter en los nodos</t>
  </si>
  <si>
    <t>Métricas de CPU y memoria expuestas en todos los nodos.</t>
  </si>
  <si>
    <t>T-17.2</t>
  </si>
  <si>
    <t>Instalar/configurar Prometheus</t>
  </si>
  <si>
    <t>Prometheus recolecta correctamente Node Exporter.</t>
  </si>
  <si>
    <t>T-17.3</t>
  </si>
  <si>
    <t>Configurar etiquetas y separación de clúster/escenario</t>
  </si>
  <si>
    <t>Series distinguibles por distribución, nodo y ejecución.</t>
  </si>
  <si>
    <t>T-17.4</t>
  </si>
  <si>
    <t>Validar continuidad y frecuencia de recolección</t>
  </si>
  <si>
    <t>No existen interrupciones relevantes durante una prueba piloto.</t>
  </si>
  <si>
    <t>HU-18</t>
  </si>
  <si>
    <t>Implementación de aplicación de referencia y pruebas de carga</t>
  </si>
  <si>
    <t>Aplicación idéntica desplegada y accesible mediante el mecanismo definido.</t>
  </si>
  <si>
    <t>T-18.1</t>
  </si>
  <si>
    <t>Desplegar aplicación de referencia en K3s y MicroK8s</t>
  </si>
  <si>
    <t>Aplicación responde correctamente en ambos clústeres.</t>
  </si>
  <si>
    <t>T-18.2</t>
  </si>
  <si>
    <t>Configurar acceso a la aplicación y endpoints de prueba</t>
  </si>
  <si>
    <t>Endpoints equivalentes y comprobados.</t>
  </si>
  <si>
    <t>T-18.3</t>
  </si>
  <si>
    <t>Desarrollar scripts k6 para escenarios de carga</t>
  </si>
  <si>
    <t>Scripts parametrizados para idle, carga media y carga alta.</t>
  </si>
  <si>
    <t>T-18.4</t>
  </si>
  <si>
    <t>Configurar exportación y organización de resultados k6</t>
  </si>
  <si>
    <t>Resultados guardados por escenario y repetición.</t>
  </si>
  <si>
    <t>HU-19</t>
  </si>
  <si>
    <t>Implementación de pruebas de resiliencia</t>
  </si>
  <si>
    <t>Fallo controlado y recuperación medibles sin pérdida intencional de quórum.</t>
  </si>
  <si>
    <t>T-19.1</t>
  </si>
  <si>
    <t>Implementar procedimiento/script de fallo controlado de un nodo</t>
  </si>
  <si>
    <t>Fallo reproducible sobre un único nodo.</t>
  </si>
  <si>
    <t>T-19.2</t>
  </si>
  <si>
    <t>Registrar inicio, detección y recuperación del fallo</t>
  </si>
  <si>
    <t>Marcas temporales suficientes para calcular tiempos.</t>
  </si>
  <si>
    <t>T-19.3</t>
  </si>
  <si>
    <t>Integrar solicitudes afectadas con resultados k6</t>
  </si>
  <si>
    <t>Cantidad de solicitudes afectadas asociada al intervalo de fallo.</t>
  </si>
  <si>
    <t>EP-06</t>
  </si>
  <si>
    <t>Etapa 3: Pruebas iniciales, mejoras y validación preliminar</t>
  </si>
  <si>
    <t>Pruebas piloto ejecutadas, problemas corregidos y validación preliminar documentada.</t>
  </si>
  <si>
    <t>HU-20</t>
  </si>
  <si>
    <t>Ejecución de pruebas piloto</t>
  </si>
  <si>
    <t>Datos piloto completos y útiles para detectar problemas de instrumentación.</t>
  </si>
  <si>
    <t>T-20.1</t>
  </si>
  <si>
    <t>Ejecutar escenario idle en K3s y MicroK8s</t>
  </si>
  <si>
    <t>Una ejecución completa por distribución con datos de todas las fuentes.</t>
  </si>
  <si>
    <t>T-20.2</t>
  </si>
  <si>
    <t>Ejecutar escenarios de carga media y alta</t>
  </si>
  <si>
    <t>Pruebas piloto realizadas y resultados preliminares disponibles.</t>
  </si>
  <si>
    <t>T-20.3</t>
  </si>
  <si>
    <t>Verificar sincronización entre Scaphandre, Prometheus y k6</t>
  </si>
  <si>
    <t>Ventanas temporales coincidentes y trazables.</t>
  </si>
  <si>
    <t>T-20.4</t>
  </si>
  <si>
    <t>Detectar y corregir anomalías de recolección</t>
  </si>
  <si>
    <t>Problemas de datos documentados y corregidos.</t>
  </si>
  <si>
    <t xml:space="preserve">Etapa 3
</t>
  </si>
  <si>
    <t>HU-21</t>
  </si>
  <si>
    <t>Mejoras y optimización del entorno experimental</t>
  </si>
  <si>
    <t>Configuración refinada sin alterar la equivalencia entre plataformas.</t>
  </si>
  <si>
    <t>T-21.1</t>
  </si>
  <si>
    <t>Ajustar frecuencia de muestreo y parámetros de recolección</t>
  </si>
  <si>
    <t>Frecuencia estable y suficiente para las ventanas experimentales.</t>
  </si>
  <si>
    <t>T-21.2</t>
  </si>
  <si>
    <t>Refinar etiquetas, nombres de archivos y estructura de datos</t>
  </si>
  <si>
    <t>Datos identificables y ordenados por distribución/escenario/repetición.</t>
  </si>
  <si>
    <t>T-21.3</t>
  </si>
  <si>
    <t>Repetir prueba piloto para verificar reproducibilidad</t>
  </si>
  <si>
    <t>Resultados comparables entre ejecuciones bajo la misma configuración.</t>
  </si>
  <si>
    <t>HU-22</t>
  </si>
  <si>
    <t>Validación preliminar integral</t>
  </si>
  <si>
    <t>Todos los componentes críticos validados antes de la campaña definitiva.</t>
  </si>
  <si>
    <t>T-22.1</t>
  </si>
  <si>
    <t>Validar infraestructura y HA de ambos clústeres</t>
  </si>
  <si>
    <t>Se confirma estado operativo y recuperación básica.</t>
  </si>
  <si>
    <t>T-22.2</t>
  </si>
  <si>
    <t>Validar observabilidad de energía, recursos y rendimiento</t>
  </si>
  <si>
    <t>Las cuatro fuentes de datos generan registros utilizables.</t>
  </si>
  <si>
    <t>T-22.3</t>
  </si>
  <si>
    <t>Validar protocolo de fallo y recuperación</t>
  </si>
  <si>
    <t>Escenario de resiliencia ejecutable y medible.</t>
  </si>
  <si>
    <t>HU-23</t>
  </si>
  <si>
    <t>Documentación de implementación y cambios</t>
  </si>
  <si>
    <t>Implementación, decisiones, resultados preliminares y cambios registrados.</t>
  </si>
  <si>
    <t>T-23.1</t>
  </si>
  <si>
    <t>Redacción: infraestructura Terraform/QEMU-KVM</t>
  </si>
  <si>
    <t>Capítulo de implementación de infraestructura documentado.</t>
  </si>
  <si>
    <t>T-23.2</t>
  </si>
  <si>
    <t>Redacción: Ansible, HA y Keepalived</t>
  </si>
  <si>
    <t>Flujos de automatización y HA explicados.</t>
  </si>
  <si>
    <t>T-23.3</t>
  </si>
  <si>
    <t>Redacción: observabilidad, métricas y pipeline de datos</t>
  </si>
  <si>
    <t>Scaphandre, Node Exporter, Prometheus y k6 descritos sin redundancia.</t>
  </si>
  <si>
    <t>T-23.4</t>
  </si>
  <si>
    <t>Registrar cambios, decisiones y commits en Git</t>
  </si>
  <si>
    <t>Repositorio actualizado y trazabilidad de cambios disponible.</t>
  </si>
  <si>
    <t>EP-07</t>
  </si>
  <si>
    <t>Etapa 4: Campaña experimental, análisis y validación final</t>
  </si>
  <si>
    <t>Campaña completa ejecutada, datos analizados y resultados validados.</t>
  </si>
  <si>
    <t>HU-24</t>
  </si>
  <si>
    <t>Ejecución definitiva de experimentos</t>
  </si>
  <si>
    <t>Todas las combinaciones planificadas ejecutadas con réplicas válidas.</t>
  </si>
  <si>
    <t xml:space="preserve">Etapa 4
</t>
  </si>
  <si>
    <t>T-24.1</t>
  </si>
  <si>
    <t>Ejecutar campaña de carga en K3s</t>
  </si>
  <si>
    <t>Todos los escenarios y repeticiones válidas registrados.</t>
  </si>
  <si>
    <t>T-24.2</t>
  </si>
  <si>
    <t>Ejecutar campaña de carga en MicroK8s</t>
  </si>
  <si>
    <t>T-24.3</t>
  </si>
  <si>
    <t>Recolectar y consolidar Scaphandre, Prometheus y k6</t>
  </si>
  <si>
    <t>Datos sincronizados y organizados por ejecución.</t>
  </si>
  <si>
    <t>HU-25</t>
  </si>
  <si>
    <t>Ejecución definitiva de pruebas de resiliencia</t>
  </si>
  <si>
    <t>Pruebas de fallo controlado comparables entre distribuciones.</t>
  </si>
  <si>
    <t>T-25.1</t>
  </si>
  <si>
    <t>Ejecutar fallos controlados en K3s</t>
  </si>
  <si>
    <t>Detección, recuperación y solicitudes afectadas registradas.</t>
  </si>
  <si>
    <t>T-25.2</t>
  </si>
  <si>
    <t>Ejecutar fallos controlados en MicroK8s</t>
  </si>
  <si>
    <t>T-25.3</t>
  </si>
  <si>
    <t>Validar integridad y completitud de datos de resiliencia</t>
  </si>
  <si>
    <t>No existen ventanas críticas sin datos o eventos trazables.</t>
  </si>
  <si>
    <t>HU-26</t>
  </si>
  <si>
    <t>Procesamiento y análisis estadístico</t>
  </si>
  <si>
    <t>Indicadores calculados y pruebas estadísticas justificadas.</t>
  </si>
  <si>
    <t>T-26.1</t>
  </si>
  <si>
    <t>Limpiar y consolidar datasets con Python</t>
  </si>
  <si>
    <t>Dataset final con anomalías documentadas y reglas de limpieza reproducibles.</t>
  </si>
  <si>
    <t>T-26.2</t>
  </si>
  <si>
    <t>Calcular energía, potencia y energía por solicitud</t>
  </si>
  <si>
    <t>Indicadores energéticos calculados para cada ejecución.</t>
  </si>
  <si>
    <t>T-26.3</t>
  </si>
  <si>
    <t>Calcular CPU, RAM, throughput, latencia y tasa de error</t>
  </si>
  <si>
    <t>Métricas de recursos y rendimiento consolidadas por escenario.</t>
  </si>
  <si>
    <t>T-26.4</t>
  </si>
  <si>
    <t>Seleccionar y ejecutar pruebas estadísticas apropiadas</t>
  </si>
  <si>
    <t>Pruebas definidas según diseño y supuestos, con nivel de significancia documentado.</t>
  </si>
  <si>
    <t>T-26.5</t>
  </si>
  <si>
    <t>Generar gráficos y tablas comparativas</t>
  </si>
  <si>
    <t>Visualizaciones de energía, recursos, rendimiento y resiliencia listas para el informe.</t>
  </si>
  <si>
    <t>HU-27</t>
  </si>
  <si>
    <t>Validación final y trazabilidad de requisitos</t>
  </si>
  <si>
    <t>Evidencia de cumplimiento de requisitos y objetivos.</t>
  </si>
  <si>
    <t>T-27.1</t>
  </si>
  <si>
    <t>Construir matriz de cumplimiento requisito-evidencia</t>
  </si>
  <si>
    <t>Cada requisito asociado a evidencia concreta.</t>
  </si>
  <si>
    <t>T-27.2</t>
  </si>
  <si>
    <t>Revisar reproducibilidad de la campaña final</t>
  </si>
  <si>
    <t>Procedimiento de reconstrucción y reejecución documentado.</t>
  </si>
  <si>
    <t>EP-08</t>
  </si>
  <si>
    <t>Etapa 4: Redacción final, conclusiones y defensa</t>
  </si>
  <si>
    <t>OG, OE3, OE4</t>
  </si>
  <si>
    <t>Informe final completo, conclusiones fundamentadas y material de defensa preparado.</t>
  </si>
  <si>
    <t>HU-28</t>
  </si>
  <si>
    <t>Análisis y discusión de resultados</t>
  </si>
  <si>
    <t>Resultados interpretados en relación con pregunta, objetivos y literatura.</t>
  </si>
  <si>
    <t>T-28.1</t>
  </si>
  <si>
    <t>Redacción: análisis de energía y eficiencia</t>
  </si>
  <si>
    <t>Interpretación de energía, potencia y J/solicitud por escenario.</t>
  </si>
  <si>
    <t>T-28.2</t>
  </si>
  <si>
    <t>Redacción: análisis de CPU, RAM y rendimiento</t>
  </si>
  <si>
    <t>Interpretación conjunta de recursos, throughput, latencia y errores.</t>
  </si>
  <si>
    <t>T-28.3</t>
  </si>
  <si>
    <t>Redacción: análisis de resiliencia y trade-offs</t>
  </si>
  <si>
    <t>Detección, recuperación, solicitudes afectadas y compromisos identificados.</t>
  </si>
  <si>
    <t>HU-29</t>
  </si>
  <si>
    <t>Contraste contextual con nube pública</t>
  </si>
  <si>
    <t>Evidencia externa contrastada sin equiparar directamente consumo físico.</t>
  </si>
  <si>
    <t>T-29.1</t>
  </si>
  <si>
    <t>Investigar evidencia comparable de IaaS</t>
  </si>
  <si>
    <t>Fuentes externas con plataforma, métrica y contexto identificados.</t>
  </si>
  <si>
    <t>T-29.2</t>
  </si>
  <si>
    <t>Redactar limitaciones y condiciones de comparabilidad</t>
  </si>
  <si>
    <t>Transferibilidad y límites metodológicos explícitos.</t>
  </si>
  <si>
    <t>HU-30</t>
  </si>
  <si>
    <t>Conclusiones, recomendaciones y trabajos futuros</t>
  </si>
  <si>
    <t>Cierre del proyecto alineado con objetivos y pregunta de investigación.</t>
  </si>
  <si>
    <t>T-30.1</t>
  </si>
  <si>
    <t>Redacción: conclusiones vinculadas con objetivos</t>
  </si>
  <si>
    <t>Cada objetivo específico respondido con evidencia experimental.</t>
  </si>
  <si>
    <t>T-30.2</t>
  </si>
  <si>
    <t>Redacción: recomendaciones y trabajos futuros</t>
  </si>
  <si>
    <t>OG, OE3</t>
  </si>
  <si>
    <t>Recomendaciones derivadas de resultados y limitaciones observadas.</t>
  </si>
  <si>
    <t>HU-31</t>
  </si>
  <si>
    <t>Revisión final del informe y material de defensa</t>
  </si>
  <si>
    <t>Entrega final revisada, compilable y con presentación lista.</t>
  </si>
  <si>
    <t>T-31.1</t>
  </si>
  <si>
    <t>Revisión de índices, tablas, figuras, referencias y formato LaTeX</t>
  </si>
  <si>
    <t>PDF final compilado correctamente y referencias verificadas.</t>
  </si>
  <si>
    <t>T-31.2</t>
  </si>
  <si>
    <t>Revisión de coherencia entre informe, backlog y resultados</t>
  </si>
  <si>
    <t>Trazabilidad final consistente.</t>
  </si>
  <si>
    <t>T-31.3</t>
  </si>
  <si>
    <t>Diseñar diapositivas de defensa</t>
  </si>
  <si>
    <t>Presentación con problema, diseño, implementación, métricas y resultados.</t>
  </si>
  <si>
    <t>T-31.4</t>
  </si>
  <si>
    <t>Ensayar presentación y preparar respuestas técnicas</t>
  </si>
  <si>
    <t>Defensa preparada y alineada con evidencia del proyecto.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</si>
</sst>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0.0"/>
      <color rgb="FFFFFFFF"/>
      <name val="Arial"/>
    </font>
    <font>
      <sz val="10.0"/>
      <color rgb="FF000000"/>
      <name val="Arial"/>
    </font>
    <font>
      <b/>
      <color theme="1"/>
      <name val="Arial"/>
    </font>
    <font>
      <b/>
      <color rgb="FFFFFFFF"/>
      <name val="Arial"/>
    </font>
    <font>
      <b/>
      <color rgb="FF000000"/>
      <name val="Arial"/>
    </font>
    <font>
      <color theme="1"/>
      <name val="Arial"/>
    </font>
    <font>
      <color rgb="FF000000"/>
      <name val="Arial"/>
    </font>
    <font>
      <b/>
      <sz val="10.0"/>
      <color rgb="FF000000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theme="7"/>
        <bgColor theme="7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" xfId="0" applyAlignment="1" applyBorder="1" applyFont="1" applyNumberFormat="1">
      <alignment horizontal="center" shrinkToFit="0" vertical="center" wrapText="1"/>
    </xf>
    <xf borderId="1" fillId="0" fontId="5" numFmtId="0" xfId="0" applyAlignment="1" applyBorder="1" applyFont="1">
      <alignment horizontal="center" readingOrder="0" shrinkToFit="0" vertical="top" wrapText="0"/>
    </xf>
    <xf borderId="1" fillId="0" fontId="5" numFmtId="0" xfId="0" applyAlignment="1" applyBorder="1" applyFont="1">
      <alignment horizontal="center" readingOrder="0" shrinkToFit="0" vertical="top" wrapText="0"/>
    </xf>
    <xf borderId="1" fillId="0" fontId="6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top" wrapText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8" numFmtId="0" xfId="0" applyAlignment="1" applyBorder="1" applyFont="1">
      <alignment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0" fillId="3" fontId="9" numFmtId="0" xfId="0" applyFill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7"/>
          <bgColor theme="7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font/>
      <fill>
        <patternFill patternType="solid">
          <fgColor rgb="FF4285F4"/>
          <bgColor rgb="FF4285F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</dxfs>
  <tableStyles count="2">
    <tableStyle count="4" pivot="0" name="Backlog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Backlog-style 2">
      <tableStyleElement dxfId="5" type="headerRow"/>
      <tableStyleElement dxfId="6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46" displayName="Backlog" name="Backlog" id="1">
  <tableColumns count="10">
    <tableColumn name="ID" id="1"/>
    <tableColumn name="Tipo" id="2"/>
    <tableColumn name="Título / Elemento" id="3"/>
    <tableColumn name="Objetivos" id="4"/>
    <tableColumn name="Prioridad" id="5"/>
    <tableColumn name="Esfuerzo estimado (h)" id="6"/>
    <tableColumn name="Esfuerzo real (h)" id="7"/>
    <tableColumn name="Criterios de aceptación / entregables" id="8"/>
    <tableColumn name="Estado" id="9"/>
    <tableColumn name="Etapa" id="10"/>
  </tableColumns>
  <tableStyleInfo name="Backlog-style" showColumnStripes="0" showFirstColumn="1" showLastColumn="1" showRowStripes="1"/>
</table>
</file>

<file path=xl/tables/table2.xml><?xml version="1.0" encoding="utf-8"?>
<table xmlns="http://schemas.openxmlformats.org/spreadsheetml/2006/main" headerRowCount="0" ref="C148" displayName="Table_1" name="Table_1" id="2">
  <tableColumns count="1">
    <tableColumn name="Column1" id="1"/>
  </tableColumns>
  <tableStyleInfo name="Backlog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0"/>
    <col customWidth="1" min="3" max="3" width="52.0"/>
    <col customWidth="1" min="4" max="4" width="18.63"/>
    <col customWidth="1" min="5" max="5" width="12.88"/>
    <col customWidth="1" min="6" max="6" width="15.25"/>
    <col customWidth="1" min="7" max="7" width="14.88"/>
    <col customWidth="1" min="8" max="8" width="50.5"/>
  </cols>
  <sheetData>
    <row r="1" ht="30.0" customHeight="1">
      <c r="A1" s="5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6" t="s">
        <v>26</v>
      </c>
      <c r="H1" s="5" t="s">
        <v>27</v>
      </c>
      <c r="I1" s="7" t="s">
        <v>28</v>
      </c>
      <c r="J1" s="8" t="s">
        <v>0</v>
      </c>
    </row>
    <row r="2" ht="22.5" customHeight="1">
      <c r="A2" s="9" t="s">
        <v>29</v>
      </c>
      <c r="B2" s="9" t="s">
        <v>30</v>
      </c>
      <c r="C2" s="9" t="s">
        <v>31</v>
      </c>
      <c r="D2" s="10" t="s">
        <v>32</v>
      </c>
      <c r="E2" s="11" t="s">
        <v>33</v>
      </c>
      <c r="F2" s="12"/>
      <c r="G2" s="12"/>
      <c r="H2" s="9" t="s">
        <v>34</v>
      </c>
      <c r="I2" s="13" t="s">
        <v>35</v>
      </c>
      <c r="J2" s="14" t="s">
        <v>4</v>
      </c>
    </row>
    <row r="3" ht="22.5" customHeight="1">
      <c r="A3" s="9" t="s">
        <v>36</v>
      </c>
      <c r="B3" s="9" t="s">
        <v>37</v>
      </c>
      <c r="C3" s="9" t="s">
        <v>38</v>
      </c>
      <c r="D3" s="10" t="s">
        <v>39</v>
      </c>
      <c r="E3" s="11" t="s">
        <v>33</v>
      </c>
      <c r="F3" s="12"/>
      <c r="G3" s="12"/>
      <c r="H3" s="9" t="s">
        <v>40</v>
      </c>
      <c r="I3" s="13" t="s">
        <v>35</v>
      </c>
      <c r="J3" s="14" t="s">
        <v>4</v>
      </c>
    </row>
    <row r="4" ht="22.5" customHeight="1">
      <c r="A4" s="15" t="s">
        <v>41</v>
      </c>
      <c r="B4" s="15" t="s">
        <v>42</v>
      </c>
      <c r="C4" s="15" t="s">
        <v>43</v>
      </c>
      <c r="D4" s="16" t="s">
        <v>44</v>
      </c>
      <c r="E4" s="17" t="s">
        <v>33</v>
      </c>
      <c r="F4" s="18">
        <v>6.0</v>
      </c>
      <c r="G4" s="19">
        <v>8.0</v>
      </c>
      <c r="H4" s="15" t="s">
        <v>45</v>
      </c>
      <c r="I4" s="20" t="s">
        <v>35</v>
      </c>
      <c r="J4" s="14" t="s">
        <v>4</v>
      </c>
    </row>
    <row r="5" ht="22.5" customHeight="1">
      <c r="A5" s="15" t="s">
        <v>46</v>
      </c>
      <c r="B5" s="15" t="s">
        <v>42</v>
      </c>
      <c r="C5" s="15" t="s">
        <v>47</v>
      </c>
      <c r="D5" s="16" t="s">
        <v>44</v>
      </c>
      <c r="E5" s="17" t="s">
        <v>33</v>
      </c>
      <c r="F5" s="18">
        <v>5.0</v>
      </c>
      <c r="G5" s="19">
        <v>5.0</v>
      </c>
      <c r="H5" s="15" t="s">
        <v>48</v>
      </c>
      <c r="I5" s="20" t="s">
        <v>35</v>
      </c>
      <c r="J5" s="14" t="s">
        <v>4</v>
      </c>
    </row>
    <row r="6" ht="22.5" customHeight="1">
      <c r="A6" s="15" t="s">
        <v>49</v>
      </c>
      <c r="B6" s="15" t="s">
        <v>42</v>
      </c>
      <c r="C6" s="15" t="s">
        <v>50</v>
      </c>
      <c r="D6" s="16" t="s">
        <v>51</v>
      </c>
      <c r="E6" s="17" t="s">
        <v>33</v>
      </c>
      <c r="F6" s="18">
        <v>5.0</v>
      </c>
      <c r="G6" s="19">
        <v>4.0</v>
      </c>
      <c r="H6" s="15" t="s">
        <v>52</v>
      </c>
      <c r="I6" s="20" t="s">
        <v>35</v>
      </c>
      <c r="J6" s="14" t="s">
        <v>4</v>
      </c>
    </row>
    <row r="7" ht="22.5" customHeight="1">
      <c r="A7" s="15" t="s">
        <v>53</v>
      </c>
      <c r="B7" s="15" t="s">
        <v>42</v>
      </c>
      <c r="C7" s="15" t="s">
        <v>54</v>
      </c>
      <c r="D7" s="16" t="s">
        <v>55</v>
      </c>
      <c r="E7" s="17" t="s">
        <v>56</v>
      </c>
      <c r="F7" s="18">
        <v>3.0</v>
      </c>
      <c r="G7" s="19">
        <v>4.0</v>
      </c>
      <c r="H7" s="15" t="s">
        <v>57</v>
      </c>
      <c r="I7" s="20" t="s">
        <v>35</v>
      </c>
      <c r="J7" s="14" t="s">
        <v>4</v>
      </c>
    </row>
    <row r="8" ht="22.5" customHeight="1">
      <c r="A8" s="9" t="s">
        <v>58</v>
      </c>
      <c r="B8" s="9" t="s">
        <v>37</v>
      </c>
      <c r="C8" s="9" t="s">
        <v>59</v>
      </c>
      <c r="D8" s="10" t="s">
        <v>60</v>
      </c>
      <c r="E8" s="11" t="s">
        <v>33</v>
      </c>
      <c r="F8" s="12"/>
      <c r="G8" s="12"/>
      <c r="H8" s="9" t="s">
        <v>61</v>
      </c>
      <c r="I8" s="13" t="s">
        <v>35</v>
      </c>
      <c r="J8" s="14" t="s">
        <v>4</v>
      </c>
    </row>
    <row r="9" ht="22.5" customHeight="1">
      <c r="A9" s="15" t="s">
        <v>62</v>
      </c>
      <c r="B9" s="15" t="s">
        <v>42</v>
      </c>
      <c r="C9" s="15" t="s">
        <v>63</v>
      </c>
      <c r="D9" s="16" t="s">
        <v>60</v>
      </c>
      <c r="E9" s="17" t="s">
        <v>33</v>
      </c>
      <c r="F9" s="18">
        <v>5.0</v>
      </c>
      <c r="G9" s="19">
        <v>5.0</v>
      </c>
      <c r="H9" s="15" t="s">
        <v>64</v>
      </c>
      <c r="I9" s="20" t="s">
        <v>35</v>
      </c>
      <c r="J9" s="14" t="s">
        <v>4</v>
      </c>
    </row>
    <row r="10" ht="22.5" customHeight="1">
      <c r="A10" s="15" t="s">
        <v>65</v>
      </c>
      <c r="B10" s="15" t="s">
        <v>42</v>
      </c>
      <c r="C10" s="15" t="s">
        <v>66</v>
      </c>
      <c r="D10" s="16" t="s">
        <v>60</v>
      </c>
      <c r="E10" s="17" t="s">
        <v>33</v>
      </c>
      <c r="F10" s="18">
        <v>3.0</v>
      </c>
      <c r="G10" s="19">
        <v>3.0</v>
      </c>
      <c r="H10" s="15" t="s">
        <v>67</v>
      </c>
      <c r="I10" s="20" t="s">
        <v>35</v>
      </c>
      <c r="J10" s="14" t="s">
        <v>4</v>
      </c>
    </row>
    <row r="11" ht="22.5" customHeight="1">
      <c r="A11" s="15" t="s">
        <v>68</v>
      </c>
      <c r="B11" s="15" t="s">
        <v>42</v>
      </c>
      <c r="C11" s="15" t="s">
        <v>69</v>
      </c>
      <c r="D11" s="16" t="s">
        <v>70</v>
      </c>
      <c r="E11" s="17" t="s">
        <v>33</v>
      </c>
      <c r="F11" s="18">
        <v>4.0</v>
      </c>
      <c r="G11" s="19">
        <v>4.0</v>
      </c>
      <c r="H11" s="15" t="s">
        <v>71</v>
      </c>
      <c r="I11" s="20" t="s">
        <v>35</v>
      </c>
      <c r="J11" s="14" t="s">
        <v>4</v>
      </c>
    </row>
    <row r="12" ht="22.5" customHeight="1">
      <c r="A12" s="9" t="s">
        <v>72</v>
      </c>
      <c r="B12" s="9" t="s">
        <v>37</v>
      </c>
      <c r="C12" s="9" t="s">
        <v>73</v>
      </c>
      <c r="D12" s="10" t="s">
        <v>32</v>
      </c>
      <c r="E12" s="11" t="s">
        <v>33</v>
      </c>
      <c r="F12" s="12"/>
      <c r="G12" s="12"/>
      <c r="H12" s="9" t="s">
        <v>74</v>
      </c>
      <c r="I12" s="13" t="s">
        <v>35</v>
      </c>
      <c r="J12" s="14" t="s">
        <v>4</v>
      </c>
    </row>
    <row r="13" ht="22.5" customHeight="1">
      <c r="A13" s="15" t="s">
        <v>75</v>
      </c>
      <c r="B13" s="15" t="s">
        <v>42</v>
      </c>
      <c r="C13" s="15" t="s">
        <v>76</v>
      </c>
      <c r="D13" s="16" t="s">
        <v>32</v>
      </c>
      <c r="E13" s="17" t="s">
        <v>33</v>
      </c>
      <c r="F13" s="18">
        <v>4.0</v>
      </c>
      <c r="G13" s="19">
        <v>4.0</v>
      </c>
      <c r="H13" s="15" t="s">
        <v>77</v>
      </c>
      <c r="I13" s="20" t="s">
        <v>35</v>
      </c>
      <c r="J13" s="14" t="s">
        <v>4</v>
      </c>
    </row>
    <row r="14" ht="22.5" customHeight="1">
      <c r="A14" s="15" t="s">
        <v>78</v>
      </c>
      <c r="B14" s="15" t="s">
        <v>42</v>
      </c>
      <c r="C14" s="15" t="s">
        <v>79</v>
      </c>
      <c r="D14" s="16" t="s">
        <v>60</v>
      </c>
      <c r="E14" s="17" t="s">
        <v>33</v>
      </c>
      <c r="F14" s="18">
        <v>3.0</v>
      </c>
      <c r="G14" s="19">
        <v>3.0</v>
      </c>
      <c r="H14" s="15" t="s">
        <v>80</v>
      </c>
      <c r="I14" s="20" t="s">
        <v>35</v>
      </c>
      <c r="J14" s="14" t="s">
        <v>4</v>
      </c>
    </row>
    <row r="15" ht="22.5" customHeight="1">
      <c r="A15" s="15" t="s">
        <v>81</v>
      </c>
      <c r="B15" s="15" t="s">
        <v>42</v>
      </c>
      <c r="C15" s="15" t="s">
        <v>82</v>
      </c>
      <c r="D15" s="16" t="s">
        <v>32</v>
      </c>
      <c r="E15" s="17" t="s">
        <v>33</v>
      </c>
      <c r="F15" s="18">
        <v>4.0</v>
      </c>
      <c r="G15" s="19">
        <v>4.0</v>
      </c>
      <c r="H15" s="15" t="s">
        <v>83</v>
      </c>
      <c r="I15" s="20" t="s">
        <v>35</v>
      </c>
      <c r="J15" s="14" t="s">
        <v>4</v>
      </c>
    </row>
    <row r="16" ht="22.5" customHeight="1">
      <c r="A16" s="9" t="s">
        <v>84</v>
      </c>
      <c r="B16" s="9" t="s">
        <v>37</v>
      </c>
      <c r="C16" s="9" t="s">
        <v>85</v>
      </c>
      <c r="D16" s="10" t="s">
        <v>86</v>
      </c>
      <c r="E16" s="11" t="s">
        <v>33</v>
      </c>
      <c r="F16" s="12"/>
      <c r="G16" s="12"/>
      <c r="H16" s="9" t="s">
        <v>87</v>
      </c>
      <c r="I16" s="13" t="s">
        <v>35</v>
      </c>
      <c r="J16" s="14" t="s">
        <v>4</v>
      </c>
    </row>
    <row r="17" ht="22.5" customHeight="1">
      <c r="A17" s="15" t="s">
        <v>88</v>
      </c>
      <c r="B17" s="15" t="s">
        <v>42</v>
      </c>
      <c r="C17" s="15" t="s">
        <v>89</v>
      </c>
      <c r="D17" s="16" t="s">
        <v>90</v>
      </c>
      <c r="E17" s="17" t="s">
        <v>33</v>
      </c>
      <c r="F17" s="19">
        <v>4.0</v>
      </c>
      <c r="G17" s="19">
        <v>4.0</v>
      </c>
      <c r="H17" s="15" t="s">
        <v>91</v>
      </c>
      <c r="I17" s="20" t="s">
        <v>35</v>
      </c>
      <c r="J17" s="14" t="s">
        <v>4</v>
      </c>
    </row>
    <row r="18" ht="22.5" customHeight="1">
      <c r="A18" s="15" t="s">
        <v>92</v>
      </c>
      <c r="B18" s="15" t="s">
        <v>42</v>
      </c>
      <c r="C18" s="15" t="s">
        <v>93</v>
      </c>
      <c r="D18" s="16" t="s">
        <v>90</v>
      </c>
      <c r="E18" s="17" t="s">
        <v>33</v>
      </c>
      <c r="F18" s="18">
        <v>4.0</v>
      </c>
      <c r="G18" s="19">
        <v>4.0</v>
      </c>
      <c r="H18" s="15" t="s">
        <v>94</v>
      </c>
      <c r="I18" s="20" t="s">
        <v>35</v>
      </c>
      <c r="J18" s="14" t="s">
        <v>4</v>
      </c>
    </row>
    <row r="19" ht="22.5" customHeight="1">
      <c r="A19" s="15" t="s">
        <v>95</v>
      </c>
      <c r="B19" s="15" t="s">
        <v>42</v>
      </c>
      <c r="C19" s="15" t="s">
        <v>96</v>
      </c>
      <c r="D19" s="16" t="s">
        <v>51</v>
      </c>
      <c r="E19" s="17" t="s">
        <v>33</v>
      </c>
      <c r="F19" s="18">
        <v>4.0</v>
      </c>
      <c r="G19" s="19">
        <v>5.0</v>
      </c>
      <c r="H19" s="15" t="s">
        <v>97</v>
      </c>
      <c r="I19" s="20" t="s">
        <v>35</v>
      </c>
      <c r="J19" s="14" t="s">
        <v>4</v>
      </c>
    </row>
    <row r="20" ht="22.5" customHeight="1">
      <c r="A20" s="15" t="s">
        <v>98</v>
      </c>
      <c r="B20" s="15" t="s">
        <v>42</v>
      </c>
      <c r="C20" s="15" t="s">
        <v>99</v>
      </c>
      <c r="D20" s="16" t="s">
        <v>100</v>
      </c>
      <c r="E20" s="17" t="s">
        <v>33</v>
      </c>
      <c r="F20" s="18">
        <v>5.0</v>
      </c>
      <c r="G20" s="19">
        <v>5.0</v>
      </c>
      <c r="H20" s="15" t="s">
        <v>101</v>
      </c>
      <c r="I20" s="20" t="s">
        <v>35</v>
      </c>
      <c r="J20" s="14" t="s">
        <v>4</v>
      </c>
    </row>
    <row r="21" ht="22.5" customHeight="1">
      <c r="A21" s="15" t="s">
        <v>102</v>
      </c>
      <c r="B21" s="15" t="s">
        <v>42</v>
      </c>
      <c r="C21" s="15" t="s">
        <v>103</v>
      </c>
      <c r="D21" s="16" t="s">
        <v>104</v>
      </c>
      <c r="E21" s="17" t="s">
        <v>33</v>
      </c>
      <c r="F21" s="19">
        <v>5.0</v>
      </c>
      <c r="G21" s="19">
        <v>5.0</v>
      </c>
      <c r="H21" s="15" t="s">
        <v>105</v>
      </c>
      <c r="I21" s="20" t="s">
        <v>35</v>
      </c>
      <c r="J21" s="14" t="s">
        <v>4</v>
      </c>
    </row>
    <row r="22" ht="22.5" customHeight="1">
      <c r="A22" s="9" t="s">
        <v>106</v>
      </c>
      <c r="B22" s="9" t="s">
        <v>37</v>
      </c>
      <c r="C22" s="9" t="s">
        <v>107</v>
      </c>
      <c r="D22" s="10" t="s">
        <v>44</v>
      </c>
      <c r="E22" s="11" t="s">
        <v>33</v>
      </c>
      <c r="F22" s="12"/>
      <c r="G22" s="12"/>
      <c r="H22" s="9" t="s">
        <v>108</v>
      </c>
      <c r="I22" s="13" t="s">
        <v>35</v>
      </c>
      <c r="J22" s="14" t="s">
        <v>4</v>
      </c>
    </row>
    <row r="23" ht="22.5" customHeight="1">
      <c r="A23" s="15" t="s">
        <v>109</v>
      </c>
      <c r="B23" s="15" t="s">
        <v>42</v>
      </c>
      <c r="C23" s="15" t="s">
        <v>110</v>
      </c>
      <c r="D23" s="16" t="s">
        <v>90</v>
      </c>
      <c r="E23" s="17" t="s">
        <v>56</v>
      </c>
      <c r="F23" s="18">
        <v>3.0</v>
      </c>
      <c r="G23" s="19">
        <v>3.0</v>
      </c>
      <c r="H23" s="15" t="s">
        <v>111</v>
      </c>
      <c r="I23" s="20" t="s">
        <v>35</v>
      </c>
      <c r="J23" s="14" t="s">
        <v>4</v>
      </c>
    </row>
    <row r="24" ht="22.5" customHeight="1">
      <c r="A24" s="15" t="s">
        <v>112</v>
      </c>
      <c r="B24" s="15" t="s">
        <v>42</v>
      </c>
      <c r="C24" s="15" t="s">
        <v>113</v>
      </c>
      <c r="D24" s="16" t="s">
        <v>51</v>
      </c>
      <c r="E24" s="17" t="s">
        <v>33</v>
      </c>
      <c r="F24" s="18">
        <v>3.0</v>
      </c>
      <c r="G24" s="19">
        <v>3.0</v>
      </c>
      <c r="H24" s="15" t="s">
        <v>114</v>
      </c>
      <c r="I24" s="20" t="s">
        <v>35</v>
      </c>
      <c r="J24" s="14" t="s">
        <v>4</v>
      </c>
    </row>
    <row r="25" ht="22.5" customHeight="1">
      <c r="A25" s="15" t="s">
        <v>115</v>
      </c>
      <c r="B25" s="15" t="s">
        <v>42</v>
      </c>
      <c r="C25" s="15" t="s">
        <v>116</v>
      </c>
      <c r="D25" s="16" t="s">
        <v>51</v>
      </c>
      <c r="E25" s="17" t="s">
        <v>33</v>
      </c>
      <c r="F25" s="18">
        <v>3.0</v>
      </c>
      <c r="G25" s="19">
        <v>3.0</v>
      </c>
      <c r="H25" s="15" t="s">
        <v>117</v>
      </c>
      <c r="I25" s="20" t="s">
        <v>35</v>
      </c>
      <c r="J25" s="14" t="s">
        <v>4</v>
      </c>
    </row>
    <row r="26" ht="22.5" customHeight="1">
      <c r="A26" s="15" t="s">
        <v>118</v>
      </c>
      <c r="B26" s="15" t="s">
        <v>42</v>
      </c>
      <c r="C26" s="15" t="s">
        <v>119</v>
      </c>
      <c r="D26" s="16" t="s">
        <v>51</v>
      </c>
      <c r="E26" s="17" t="s">
        <v>33</v>
      </c>
      <c r="F26" s="18">
        <v>3.0</v>
      </c>
      <c r="G26" s="19">
        <v>3.0</v>
      </c>
      <c r="H26" s="15" t="s">
        <v>120</v>
      </c>
      <c r="I26" s="20" t="s">
        <v>35</v>
      </c>
      <c r="J26" s="14" t="s">
        <v>4</v>
      </c>
    </row>
    <row r="27" ht="22.5" customHeight="1">
      <c r="A27" s="15" t="s">
        <v>121</v>
      </c>
      <c r="B27" s="15" t="s">
        <v>42</v>
      </c>
      <c r="C27" s="15" t="s">
        <v>122</v>
      </c>
      <c r="D27" s="16" t="s">
        <v>90</v>
      </c>
      <c r="E27" s="17" t="s">
        <v>56</v>
      </c>
      <c r="F27" s="18">
        <v>4.0</v>
      </c>
      <c r="G27" s="21">
        <v>3.0</v>
      </c>
      <c r="H27" s="15" t="s">
        <v>123</v>
      </c>
      <c r="I27" s="20" t="s">
        <v>35</v>
      </c>
      <c r="J27" s="14" t="s">
        <v>4</v>
      </c>
    </row>
    <row r="28" ht="22.5" customHeight="1">
      <c r="A28" s="9" t="s">
        <v>124</v>
      </c>
      <c r="B28" s="9" t="s">
        <v>30</v>
      </c>
      <c r="C28" s="9" t="s">
        <v>125</v>
      </c>
      <c r="D28" s="10" t="s">
        <v>126</v>
      </c>
      <c r="E28" s="11" t="s">
        <v>33</v>
      </c>
      <c r="F28" s="12"/>
      <c r="G28" s="12"/>
      <c r="H28" s="9" t="s">
        <v>127</v>
      </c>
      <c r="I28" s="13" t="s">
        <v>128</v>
      </c>
      <c r="J28" s="14" t="s">
        <v>7</v>
      </c>
    </row>
    <row r="29" ht="22.5" customHeight="1">
      <c r="A29" s="9" t="s">
        <v>129</v>
      </c>
      <c r="B29" s="9" t="s">
        <v>37</v>
      </c>
      <c r="C29" s="9" t="s">
        <v>130</v>
      </c>
      <c r="D29" s="10" t="s">
        <v>90</v>
      </c>
      <c r="E29" s="11" t="s">
        <v>33</v>
      </c>
      <c r="F29" s="12"/>
      <c r="G29" s="12"/>
      <c r="H29" s="9" t="s">
        <v>131</v>
      </c>
      <c r="I29" s="13" t="s">
        <v>128</v>
      </c>
      <c r="J29" s="14" t="s">
        <v>7</v>
      </c>
    </row>
    <row r="30" ht="22.5" customHeight="1">
      <c r="A30" s="15" t="s">
        <v>132</v>
      </c>
      <c r="B30" s="15" t="s">
        <v>42</v>
      </c>
      <c r="C30" s="15" t="s">
        <v>133</v>
      </c>
      <c r="D30" s="16" t="s">
        <v>90</v>
      </c>
      <c r="E30" s="17" t="s">
        <v>33</v>
      </c>
      <c r="F30" s="18">
        <v>4.0</v>
      </c>
      <c r="G30" s="19"/>
      <c r="H30" s="15" t="s">
        <v>134</v>
      </c>
      <c r="I30" s="20" t="s">
        <v>128</v>
      </c>
      <c r="J30" s="14" t="s">
        <v>7</v>
      </c>
    </row>
    <row r="31" ht="22.5" customHeight="1">
      <c r="A31" s="15" t="s">
        <v>135</v>
      </c>
      <c r="B31" s="15" t="s">
        <v>42</v>
      </c>
      <c r="C31" s="15" t="s">
        <v>136</v>
      </c>
      <c r="D31" s="16" t="s">
        <v>90</v>
      </c>
      <c r="E31" s="17" t="s">
        <v>33</v>
      </c>
      <c r="F31" s="18">
        <v>3.0</v>
      </c>
      <c r="G31" s="18"/>
      <c r="H31" s="15" t="s">
        <v>137</v>
      </c>
      <c r="I31" s="20" t="s">
        <v>128</v>
      </c>
      <c r="J31" s="14" t="s">
        <v>7</v>
      </c>
    </row>
    <row r="32" ht="22.5" customHeight="1">
      <c r="A32" s="15" t="s">
        <v>138</v>
      </c>
      <c r="B32" s="15" t="s">
        <v>42</v>
      </c>
      <c r="C32" s="15" t="s">
        <v>139</v>
      </c>
      <c r="D32" s="16" t="s">
        <v>90</v>
      </c>
      <c r="E32" s="17" t="s">
        <v>33</v>
      </c>
      <c r="F32" s="18">
        <v>3.0</v>
      </c>
      <c r="G32" s="18"/>
      <c r="H32" s="15" t="s">
        <v>140</v>
      </c>
      <c r="I32" s="20" t="s">
        <v>128</v>
      </c>
      <c r="J32" s="14" t="s">
        <v>7</v>
      </c>
    </row>
    <row r="33" ht="22.5" customHeight="1">
      <c r="A33" s="9" t="s">
        <v>141</v>
      </c>
      <c r="B33" s="9" t="s">
        <v>37</v>
      </c>
      <c r="C33" s="9" t="s">
        <v>142</v>
      </c>
      <c r="D33" s="10" t="s">
        <v>51</v>
      </c>
      <c r="E33" s="11" t="s">
        <v>33</v>
      </c>
      <c r="F33" s="12"/>
      <c r="G33" s="12"/>
      <c r="H33" s="9" t="s">
        <v>143</v>
      </c>
      <c r="I33" s="13" t="s">
        <v>128</v>
      </c>
      <c r="J33" s="14" t="s">
        <v>7</v>
      </c>
    </row>
    <row r="34" ht="22.5" customHeight="1">
      <c r="A34" s="15" t="s">
        <v>144</v>
      </c>
      <c r="B34" s="15" t="s">
        <v>42</v>
      </c>
      <c r="C34" s="15" t="s">
        <v>145</v>
      </c>
      <c r="D34" s="16" t="s">
        <v>51</v>
      </c>
      <c r="E34" s="17" t="s">
        <v>33</v>
      </c>
      <c r="F34" s="18">
        <v>4.0</v>
      </c>
      <c r="G34" s="18"/>
      <c r="H34" s="15" t="s">
        <v>146</v>
      </c>
      <c r="I34" s="20" t="s">
        <v>128</v>
      </c>
      <c r="J34" s="14" t="s">
        <v>7</v>
      </c>
    </row>
    <row r="35" ht="22.5" customHeight="1">
      <c r="A35" s="15" t="s">
        <v>147</v>
      </c>
      <c r="B35" s="15" t="s">
        <v>42</v>
      </c>
      <c r="C35" s="15" t="s">
        <v>148</v>
      </c>
      <c r="D35" s="16" t="s">
        <v>51</v>
      </c>
      <c r="E35" s="17" t="s">
        <v>33</v>
      </c>
      <c r="F35" s="18">
        <v>3.0</v>
      </c>
      <c r="G35" s="18"/>
      <c r="H35" s="15" t="s">
        <v>149</v>
      </c>
      <c r="I35" s="20" t="s">
        <v>128</v>
      </c>
      <c r="J35" s="14" t="s">
        <v>7</v>
      </c>
    </row>
    <row r="36" ht="22.5" customHeight="1">
      <c r="A36" s="15" t="s">
        <v>150</v>
      </c>
      <c r="B36" s="15" t="s">
        <v>42</v>
      </c>
      <c r="C36" s="15" t="s">
        <v>151</v>
      </c>
      <c r="D36" s="16" t="s">
        <v>51</v>
      </c>
      <c r="E36" s="17" t="s">
        <v>33</v>
      </c>
      <c r="F36" s="18">
        <v>4.0</v>
      </c>
      <c r="G36" s="18"/>
      <c r="H36" s="15" t="s">
        <v>152</v>
      </c>
      <c r="I36" s="20" t="s">
        <v>128</v>
      </c>
      <c r="J36" s="14" t="s">
        <v>7</v>
      </c>
    </row>
    <row r="37" ht="22.5" customHeight="1">
      <c r="A37" s="15" t="s">
        <v>153</v>
      </c>
      <c r="B37" s="15" t="s">
        <v>42</v>
      </c>
      <c r="C37" s="15" t="s">
        <v>154</v>
      </c>
      <c r="D37" s="16" t="s">
        <v>51</v>
      </c>
      <c r="E37" s="17" t="s">
        <v>33</v>
      </c>
      <c r="F37" s="18">
        <v>3.0</v>
      </c>
      <c r="G37" s="18"/>
      <c r="H37" s="15" t="s">
        <v>155</v>
      </c>
      <c r="I37" s="20" t="s">
        <v>128</v>
      </c>
      <c r="J37" s="14" t="s">
        <v>7</v>
      </c>
    </row>
    <row r="38" ht="22.5" customHeight="1">
      <c r="A38" s="15" t="s">
        <v>156</v>
      </c>
      <c r="B38" s="15" t="s">
        <v>42</v>
      </c>
      <c r="C38" s="15" t="s">
        <v>157</v>
      </c>
      <c r="D38" s="16" t="s">
        <v>100</v>
      </c>
      <c r="E38" s="17" t="s">
        <v>33</v>
      </c>
      <c r="F38" s="18">
        <v>4.0</v>
      </c>
      <c r="G38" s="18"/>
      <c r="H38" s="15" t="s">
        <v>158</v>
      </c>
      <c r="I38" s="20" t="s">
        <v>128</v>
      </c>
      <c r="J38" s="14" t="s">
        <v>7</v>
      </c>
    </row>
    <row r="39" ht="22.5" customHeight="1">
      <c r="A39" s="9" t="s">
        <v>159</v>
      </c>
      <c r="B39" s="9" t="s">
        <v>37</v>
      </c>
      <c r="C39" s="9" t="s">
        <v>160</v>
      </c>
      <c r="D39" s="10" t="s">
        <v>100</v>
      </c>
      <c r="E39" s="11" t="s">
        <v>33</v>
      </c>
      <c r="F39" s="12"/>
      <c r="G39" s="12"/>
      <c r="H39" s="9" t="s">
        <v>161</v>
      </c>
      <c r="I39" s="13" t="s">
        <v>128</v>
      </c>
      <c r="J39" s="14" t="s">
        <v>7</v>
      </c>
    </row>
    <row r="40" ht="22.5" customHeight="1">
      <c r="A40" s="15" t="s">
        <v>162</v>
      </c>
      <c r="B40" s="15" t="s">
        <v>42</v>
      </c>
      <c r="C40" s="15" t="s">
        <v>163</v>
      </c>
      <c r="D40" s="16" t="s">
        <v>51</v>
      </c>
      <c r="E40" s="17" t="s">
        <v>33</v>
      </c>
      <c r="F40" s="18">
        <v>4.0</v>
      </c>
      <c r="G40" s="18"/>
      <c r="H40" s="15" t="s">
        <v>164</v>
      </c>
      <c r="I40" s="20" t="s">
        <v>128</v>
      </c>
      <c r="J40" s="14" t="s">
        <v>7</v>
      </c>
    </row>
    <row r="41" ht="22.5" customHeight="1">
      <c r="A41" s="15" t="s">
        <v>165</v>
      </c>
      <c r="B41" s="15" t="s">
        <v>42</v>
      </c>
      <c r="C41" s="15" t="s">
        <v>166</v>
      </c>
      <c r="D41" s="16" t="s">
        <v>167</v>
      </c>
      <c r="E41" s="17" t="s">
        <v>33</v>
      </c>
      <c r="F41" s="18">
        <v>3.0</v>
      </c>
      <c r="G41" s="18"/>
      <c r="H41" s="15" t="s">
        <v>168</v>
      </c>
      <c r="I41" s="20" t="s">
        <v>128</v>
      </c>
      <c r="J41" s="14" t="s">
        <v>7</v>
      </c>
    </row>
    <row r="42" ht="22.5" customHeight="1">
      <c r="A42" s="15" t="s">
        <v>169</v>
      </c>
      <c r="B42" s="15" t="s">
        <v>42</v>
      </c>
      <c r="C42" s="15" t="s">
        <v>170</v>
      </c>
      <c r="D42" s="16" t="s">
        <v>100</v>
      </c>
      <c r="E42" s="17" t="s">
        <v>33</v>
      </c>
      <c r="F42" s="18">
        <v>3.0</v>
      </c>
      <c r="G42" s="18"/>
      <c r="H42" s="15" t="s">
        <v>171</v>
      </c>
      <c r="I42" s="20" t="s">
        <v>128</v>
      </c>
      <c r="J42" s="14" t="s">
        <v>7</v>
      </c>
    </row>
    <row r="43" ht="22.5" customHeight="1">
      <c r="A43" s="15" t="s">
        <v>172</v>
      </c>
      <c r="B43" s="15" t="s">
        <v>42</v>
      </c>
      <c r="C43" s="15" t="s">
        <v>173</v>
      </c>
      <c r="D43" s="16" t="s">
        <v>100</v>
      </c>
      <c r="E43" s="17" t="s">
        <v>33</v>
      </c>
      <c r="F43" s="18">
        <v>4.0</v>
      </c>
      <c r="G43" s="18"/>
      <c r="H43" s="15" t="s">
        <v>174</v>
      </c>
      <c r="I43" s="20" t="s">
        <v>128</v>
      </c>
      <c r="J43" s="14" t="s">
        <v>7</v>
      </c>
    </row>
    <row r="44" ht="22.5" customHeight="1">
      <c r="A44" s="15" t="s">
        <v>175</v>
      </c>
      <c r="B44" s="15" t="s">
        <v>42</v>
      </c>
      <c r="C44" s="15" t="s">
        <v>176</v>
      </c>
      <c r="D44" s="16" t="s">
        <v>167</v>
      </c>
      <c r="E44" s="17" t="s">
        <v>56</v>
      </c>
      <c r="F44" s="18">
        <v>3.0</v>
      </c>
      <c r="G44" s="18"/>
      <c r="H44" s="15" t="s">
        <v>177</v>
      </c>
      <c r="I44" s="20" t="s">
        <v>128</v>
      </c>
      <c r="J44" s="14" t="s">
        <v>7</v>
      </c>
    </row>
    <row r="45" ht="22.5" customHeight="1">
      <c r="A45" s="9" t="s">
        <v>178</v>
      </c>
      <c r="B45" s="9" t="s">
        <v>37</v>
      </c>
      <c r="C45" s="9" t="s">
        <v>179</v>
      </c>
      <c r="D45" s="10" t="s">
        <v>126</v>
      </c>
      <c r="E45" s="11" t="s">
        <v>56</v>
      </c>
      <c r="F45" s="12"/>
      <c r="G45" s="12"/>
      <c r="H45" s="9" t="s">
        <v>180</v>
      </c>
      <c r="I45" s="13" t="s">
        <v>128</v>
      </c>
      <c r="J45" s="14" t="s">
        <v>7</v>
      </c>
    </row>
    <row r="46" ht="22.5" customHeight="1">
      <c r="A46" s="15" t="s">
        <v>181</v>
      </c>
      <c r="B46" s="15" t="s">
        <v>42</v>
      </c>
      <c r="C46" s="15" t="s">
        <v>182</v>
      </c>
      <c r="D46" s="16" t="s">
        <v>44</v>
      </c>
      <c r="E46" s="17" t="s">
        <v>56</v>
      </c>
      <c r="F46" s="18">
        <v>3.0</v>
      </c>
      <c r="G46" s="18"/>
      <c r="H46" s="15" t="s">
        <v>183</v>
      </c>
      <c r="I46" s="20" t="s">
        <v>128</v>
      </c>
      <c r="J46" s="14" t="s">
        <v>7</v>
      </c>
    </row>
    <row r="47" ht="22.5" customHeight="1">
      <c r="A47" s="15" t="s">
        <v>184</v>
      </c>
      <c r="B47" s="15" t="s">
        <v>42</v>
      </c>
      <c r="C47" s="15" t="s">
        <v>185</v>
      </c>
      <c r="D47" s="16" t="s">
        <v>126</v>
      </c>
      <c r="E47" s="17" t="s">
        <v>56</v>
      </c>
      <c r="F47" s="18">
        <v>2.0</v>
      </c>
      <c r="G47" s="18"/>
      <c r="H47" s="15" t="s">
        <v>186</v>
      </c>
      <c r="I47" s="20" t="s">
        <v>128</v>
      </c>
      <c r="J47" s="14" t="s">
        <v>7</v>
      </c>
    </row>
    <row r="48" ht="22.5" customHeight="1">
      <c r="A48" s="15" t="s">
        <v>187</v>
      </c>
      <c r="B48" s="15" t="s">
        <v>42</v>
      </c>
      <c r="C48" s="15" t="s">
        <v>188</v>
      </c>
      <c r="D48" s="16" t="s">
        <v>189</v>
      </c>
      <c r="E48" s="17" t="s">
        <v>56</v>
      </c>
      <c r="F48" s="18">
        <v>3.0</v>
      </c>
      <c r="G48" s="18"/>
      <c r="H48" s="15" t="s">
        <v>190</v>
      </c>
      <c r="I48" s="20" t="s">
        <v>128</v>
      </c>
      <c r="J48" s="14" t="s">
        <v>7</v>
      </c>
    </row>
    <row r="49" ht="22.5" customHeight="1">
      <c r="A49" s="9" t="s">
        <v>191</v>
      </c>
      <c r="B49" s="9" t="s">
        <v>30</v>
      </c>
      <c r="C49" s="9" t="s">
        <v>192</v>
      </c>
      <c r="D49" s="10" t="s">
        <v>193</v>
      </c>
      <c r="E49" s="11" t="s">
        <v>33</v>
      </c>
      <c r="F49" s="12"/>
      <c r="G49" s="12"/>
      <c r="H49" s="9" t="s">
        <v>194</v>
      </c>
      <c r="I49" s="13" t="s">
        <v>128</v>
      </c>
      <c r="J49" s="14" t="s">
        <v>7</v>
      </c>
    </row>
    <row r="50" ht="22.5" customHeight="1">
      <c r="A50" s="9" t="s">
        <v>195</v>
      </c>
      <c r="B50" s="9" t="s">
        <v>37</v>
      </c>
      <c r="C50" s="9" t="s">
        <v>196</v>
      </c>
      <c r="D50" s="10" t="s">
        <v>193</v>
      </c>
      <c r="E50" s="11" t="s">
        <v>33</v>
      </c>
      <c r="F50" s="12"/>
      <c r="G50" s="12"/>
      <c r="H50" s="9" t="s">
        <v>197</v>
      </c>
      <c r="I50" s="13" t="s">
        <v>128</v>
      </c>
      <c r="J50" s="14" t="s">
        <v>7</v>
      </c>
    </row>
    <row r="51" ht="22.5" customHeight="1">
      <c r="A51" s="15" t="s">
        <v>198</v>
      </c>
      <c r="B51" s="15" t="s">
        <v>42</v>
      </c>
      <c r="C51" s="15" t="s">
        <v>199</v>
      </c>
      <c r="D51" s="16" t="s">
        <v>60</v>
      </c>
      <c r="E51" s="17" t="s">
        <v>33</v>
      </c>
      <c r="F51" s="18">
        <v>2.0</v>
      </c>
      <c r="G51" s="18"/>
      <c r="H51" s="15" t="s">
        <v>200</v>
      </c>
      <c r="I51" s="20" t="s">
        <v>128</v>
      </c>
      <c r="J51" s="14" t="s">
        <v>7</v>
      </c>
    </row>
    <row r="52" ht="22.5" customHeight="1">
      <c r="A52" s="15" t="s">
        <v>201</v>
      </c>
      <c r="B52" s="15" t="s">
        <v>42</v>
      </c>
      <c r="C52" s="15" t="s">
        <v>202</v>
      </c>
      <c r="D52" s="16" t="s">
        <v>193</v>
      </c>
      <c r="E52" s="17" t="s">
        <v>33</v>
      </c>
      <c r="F52" s="18">
        <v>4.0</v>
      </c>
      <c r="G52" s="18"/>
      <c r="H52" s="15" t="s">
        <v>203</v>
      </c>
      <c r="I52" s="20" t="s">
        <v>128</v>
      </c>
      <c r="J52" s="14" t="s">
        <v>7</v>
      </c>
    </row>
    <row r="53" ht="22.5" customHeight="1">
      <c r="A53" s="9" t="s">
        <v>204</v>
      </c>
      <c r="B53" s="9" t="s">
        <v>30</v>
      </c>
      <c r="C53" s="22" t="s">
        <v>205</v>
      </c>
      <c r="D53" s="10" t="s">
        <v>90</v>
      </c>
      <c r="E53" s="11" t="s">
        <v>33</v>
      </c>
      <c r="F53" s="12"/>
      <c r="G53" s="12"/>
      <c r="H53" s="9" t="s">
        <v>206</v>
      </c>
      <c r="I53" s="13" t="s">
        <v>128</v>
      </c>
      <c r="J53" s="14" t="s">
        <v>7</v>
      </c>
    </row>
    <row r="54" ht="22.5" customHeight="1">
      <c r="A54" s="9" t="s">
        <v>207</v>
      </c>
      <c r="B54" s="9" t="s">
        <v>37</v>
      </c>
      <c r="C54" s="9" t="s">
        <v>208</v>
      </c>
      <c r="D54" s="10" t="s">
        <v>90</v>
      </c>
      <c r="E54" s="11" t="s">
        <v>33</v>
      </c>
      <c r="F54" s="12"/>
      <c r="G54" s="12"/>
      <c r="H54" s="9" t="s">
        <v>209</v>
      </c>
      <c r="I54" s="13" t="s">
        <v>128</v>
      </c>
      <c r="J54" s="14" t="s">
        <v>7</v>
      </c>
    </row>
    <row r="55" ht="22.5" customHeight="1">
      <c r="A55" s="15" t="s">
        <v>210</v>
      </c>
      <c r="B55" s="15" t="s">
        <v>42</v>
      </c>
      <c r="C55" s="15" t="s">
        <v>211</v>
      </c>
      <c r="D55" s="16" t="s">
        <v>90</v>
      </c>
      <c r="E55" s="17" t="s">
        <v>33</v>
      </c>
      <c r="F55" s="18">
        <v>4.0</v>
      </c>
      <c r="G55" s="18"/>
      <c r="H55" s="15" t="s">
        <v>212</v>
      </c>
      <c r="I55" s="20" t="s">
        <v>128</v>
      </c>
      <c r="J55" s="14" t="s">
        <v>7</v>
      </c>
    </row>
    <row r="56" ht="22.5" customHeight="1">
      <c r="A56" s="15" t="s">
        <v>213</v>
      </c>
      <c r="B56" s="15" t="s">
        <v>42</v>
      </c>
      <c r="C56" s="15" t="s">
        <v>214</v>
      </c>
      <c r="D56" s="16" t="s">
        <v>90</v>
      </c>
      <c r="E56" s="17" t="s">
        <v>33</v>
      </c>
      <c r="F56" s="18">
        <v>4.0</v>
      </c>
      <c r="G56" s="18"/>
      <c r="H56" s="15" t="s">
        <v>215</v>
      </c>
      <c r="I56" s="20" t="s">
        <v>128</v>
      </c>
      <c r="J56" s="14" t="s">
        <v>7</v>
      </c>
    </row>
    <row r="57" ht="22.5" customHeight="1">
      <c r="A57" s="15" t="s">
        <v>216</v>
      </c>
      <c r="B57" s="15" t="s">
        <v>42</v>
      </c>
      <c r="C57" s="15" t="s">
        <v>217</v>
      </c>
      <c r="D57" s="16" t="s">
        <v>90</v>
      </c>
      <c r="E57" s="17" t="s">
        <v>33</v>
      </c>
      <c r="F57" s="18">
        <v>6.0</v>
      </c>
      <c r="G57" s="18"/>
      <c r="H57" s="15" t="s">
        <v>218</v>
      </c>
      <c r="I57" s="20" t="s">
        <v>128</v>
      </c>
      <c r="J57" s="14" t="s">
        <v>7</v>
      </c>
    </row>
    <row r="58" ht="22.5" customHeight="1">
      <c r="A58" s="15" t="s">
        <v>219</v>
      </c>
      <c r="B58" s="15" t="s">
        <v>42</v>
      </c>
      <c r="C58" s="15" t="s">
        <v>220</v>
      </c>
      <c r="D58" s="16" t="s">
        <v>90</v>
      </c>
      <c r="E58" s="17" t="s">
        <v>56</v>
      </c>
      <c r="F58" s="18">
        <v>2.0</v>
      </c>
      <c r="G58" s="18"/>
      <c r="H58" s="15" t="s">
        <v>221</v>
      </c>
      <c r="I58" s="20" t="s">
        <v>128</v>
      </c>
      <c r="J58" s="14" t="s">
        <v>7</v>
      </c>
    </row>
    <row r="59" ht="22.5" customHeight="1">
      <c r="A59" s="9" t="s">
        <v>222</v>
      </c>
      <c r="B59" s="9" t="s">
        <v>37</v>
      </c>
      <c r="C59" s="9" t="s">
        <v>223</v>
      </c>
      <c r="D59" s="10" t="s">
        <v>90</v>
      </c>
      <c r="E59" s="11" t="s">
        <v>33</v>
      </c>
      <c r="F59" s="12"/>
      <c r="G59" s="12"/>
      <c r="H59" s="9" t="s">
        <v>224</v>
      </c>
      <c r="I59" s="13" t="s">
        <v>128</v>
      </c>
      <c r="J59" s="14" t="s">
        <v>7</v>
      </c>
    </row>
    <row r="60" ht="22.5" customHeight="1">
      <c r="A60" s="15" t="s">
        <v>225</v>
      </c>
      <c r="B60" s="15" t="s">
        <v>42</v>
      </c>
      <c r="C60" s="15" t="s">
        <v>226</v>
      </c>
      <c r="D60" s="16" t="s">
        <v>90</v>
      </c>
      <c r="E60" s="17" t="s">
        <v>33</v>
      </c>
      <c r="F60" s="18">
        <v>4.0</v>
      </c>
      <c r="G60" s="18"/>
      <c r="H60" s="15" t="s">
        <v>227</v>
      </c>
      <c r="I60" s="20" t="s">
        <v>128</v>
      </c>
      <c r="J60" s="14" t="s">
        <v>7</v>
      </c>
    </row>
    <row r="61" ht="22.5" customHeight="1">
      <c r="A61" s="15" t="s">
        <v>228</v>
      </c>
      <c r="B61" s="15" t="s">
        <v>42</v>
      </c>
      <c r="C61" s="15" t="s">
        <v>229</v>
      </c>
      <c r="D61" s="16" t="s">
        <v>90</v>
      </c>
      <c r="E61" s="17" t="s">
        <v>33</v>
      </c>
      <c r="F61" s="18">
        <v>3.0</v>
      </c>
      <c r="G61" s="18"/>
      <c r="H61" s="15" t="s">
        <v>230</v>
      </c>
      <c r="I61" s="20" t="s">
        <v>128</v>
      </c>
      <c r="J61" s="14" t="s">
        <v>7</v>
      </c>
    </row>
    <row r="62" ht="22.5" customHeight="1">
      <c r="A62" s="15" t="s">
        <v>231</v>
      </c>
      <c r="B62" s="15" t="s">
        <v>42</v>
      </c>
      <c r="C62" s="15" t="s">
        <v>232</v>
      </c>
      <c r="D62" s="16" t="s">
        <v>90</v>
      </c>
      <c r="E62" s="17" t="s">
        <v>33</v>
      </c>
      <c r="F62" s="18">
        <v>3.0</v>
      </c>
      <c r="G62" s="18"/>
      <c r="H62" s="15" t="s">
        <v>233</v>
      </c>
      <c r="I62" s="20" t="s">
        <v>128</v>
      </c>
      <c r="J62" s="14" t="s">
        <v>7</v>
      </c>
    </row>
    <row r="63" ht="22.5" customHeight="1">
      <c r="A63" s="9" t="s">
        <v>234</v>
      </c>
      <c r="B63" s="9" t="s">
        <v>37</v>
      </c>
      <c r="C63" s="9" t="s">
        <v>235</v>
      </c>
      <c r="D63" s="10" t="s">
        <v>90</v>
      </c>
      <c r="E63" s="11" t="s">
        <v>33</v>
      </c>
      <c r="F63" s="12"/>
      <c r="G63" s="12"/>
      <c r="H63" s="9" t="s">
        <v>236</v>
      </c>
      <c r="I63" s="13" t="s">
        <v>128</v>
      </c>
      <c r="J63" s="14" t="s">
        <v>7</v>
      </c>
    </row>
    <row r="64" ht="22.5" customHeight="1">
      <c r="A64" s="15" t="s">
        <v>237</v>
      </c>
      <c r="B64" s="15" t="s">
        <v>42</v>
      </c>
      <c r="C64" s="15" t="s">
        <v>238</v>
      </c>
      <c r="D64" s="16" t="s">
        <v>90</v>
      </c>
      <c r="E64" s="17" t="s">
        <v>33</v>
      </c>
      <c r="F64" s="18">
        <v>4.0</v>
      </c>
      <c r="G64" s="18"/>
      <c r="H64" s="15" t="s">
        <v>239</v>
      </c>
      <c r="I64" s="20" t="s">
        <v>128</v>
      </c>
      <c r="J64" s="14" t="s">
        <v>7</v>
      </c>
    </row>
    <row r="65" ht="22.5" customHeight="1">
      <c r="A65" s="15" t="s">
        <v>240</v>
      </c>
      <c r="B65" s="15" t="s">
        <v>42</v>
      </c>
      <c r="C65" s="15" t="s">
        <v>241</v>
      </c>
      <c r="D65" s="16" t="s">
        <v>90</v>
      </c>
      <c r="E65" s="17" t="s">
        <v>33</v>
      </c>
      <c r="F65" s="18">
        <v>4.0</v>
      </c>
      <c r="G65" s="18"/>
      <c r="H65" s="15" t="s">
        <v>242</v>
      </c>
      <c r="I65" s="20" t="s">
        <v>128</v>
      </c>
      <c r="J65" s="14" t="s">
        <v>7</v>
      </c>
    </row>
    <row r="66" ht="22.5" customHeight="1">
      <c r="A66" s="15" t="s">
        <v>243</v>
      </c>
      <c r="B66" s="15" t="s">
        <v>42</v>
      </c>
      <c r="C66" s="15" t="s">
        <v>244</v>
      </c>
      <c r="D66" s="16" t="s">
        <v>90</v>
      </c>
      <c r="E66" s="17" t="s">
        <v>33</v>
      </c>
      <c r="F66" s="18">
        <v>3.0</v>
      </c>
      <c r="G66" s="18"/>
      <c r="H66" s="15" t="s">
        <v>245</v>
      </c>
      <c r="I66" s="20" t="s">
        <v>128</v>
      </c>
      <c r="J66" s="14" t="s">
        <v>7</v>
      </c>
    </row>
    <row r="67" ht="22.5" customHeight="1">
      <c r="A67" s="9" t="s">
        <v>246</v>
      </c>
      <c r="B67" s="9" t="s">
        <v>37</v>
      </c>
      <c r="C67" s="9" t="s">
        <v>247</v>
      </c>
      <c r="D67" s="10" t="s">
        <v>90</v>
      </c>
      <c r="E67" s="11" t="s">
        <v>33</v>
      </c>
      <c r="F67" s="12"/>
      <c r="G67" s="12"/>
      <c r="H67" s="9" t="s">
        <v>248</v>
      </c>
      <c r="I67" s="13" t="s">
        <v>128</v>
      </c>
      <c r="J67" s="14" t="s">
        <v>7</v>
      </c>
    </row>
    <row r="68" ht="15.75" customHeight="1">
      <c r="A68" s="23" t="s">
        <v>249</v>
      </c>
      <c r="B68" s="23" t="s">
        <v>42</v>
      </c>
      <c r="C68" s="23" t="s">
        <v>250</v>
      </c>
      <c r="D68" s="24" t="s">
        <v>90</v>
      </c>
      <c r="E68" s="25" t="s">
        <v>33</v>
      </c>
      <c r="F68" s="26">
        <v>4.0</v>
      </c>
      <c r="G68" s="26"/>
      <c r="H68" s="23" t="s">
        <v>251</v>
      </c>
      <c r="I68" s="20" t="s">
        <v>128</v>
      </c>
      <c r="J68" s="14" t="s">
        <v>7</v>
      </c>
    </row>
    <row r="69" ht="15.75" customHeight="1">
      <c r="A69" s="23" t="s">
        <v>252</v>
      </c>
      <c r="B69" s="23" t="s">
        <v>42</v>
      </c>
      <c r="C69" s="23" t="s">
        <v>253</v>
      </c>
      <c r="D69" s="24" t="s">
        <v>90</v>
      </c>
      <c r="E69" s="25" t="s">
        <v>33</v>
      </c>
      <c r="F69" s="26">
        <v>4.0</v>
      </c>
      <c r="G69" s="26"/>
      <c r="H69" s="23" t="s">
        <v>254</v>
      </c>
      <c r="I69" s="20" t="s">
        <v>128</v>
      </c>
      <c r="J69" s="14" t="s">
        <v>7</v>
      </c>
    </row>
    <row r="70" ht="15.75" customHeight="1">
      <c r="A70" s="23" t="s">
        <v>255</v>
      </c>
      <c r="B70" s="23" t="s">
        <v>42</v>
      </c>
      <c r="C70" s="23" t="s">
        <v>256</v>
      </c>
      <c r="D70" s="24" t="s">
        <v>90</v>
      </c>
      <c r="E70" s="25" t="s">
        <v>33</v>
      </c>
      <c r="F70" s="26">
        <v>3.0</v>
      </c>
      <c r="G70" s="26"/>
      <c r="H70" s="23" t="s">
        <v>257</v>
      </c>
      <c r="I70" s="20" t="s">
        <v>128</v>
      </c>
      <c r="J70" s="14" t="s">
        <v>7</v>
      </c>
    </row>
    <row r="71" ht="15.75" customHeight="1">
      <c r="A71" s="27" t="s">
        <v>258</v>
      </c>
      <c r="B71" s="27" t="s">
        <v>37</v>
      </c>
      <c r="C71" s="28" t="s">
        <v>259</v>
      </c>
      <c r="D71" s="29" t="s">
        <v>90</v>
      </c>
      <c r="E71" s="30" t="s">
        <v>33</v>
      </c>
      <c r="F71" s="31"/>
      <c r="G71" s="31"/>
      <c r="H71" s="27" t="s">
        <v>260</v>
      </c>
      <c r="I71" s="13" t="s">
        <v>128</v>
      </c>
      <c r="J71" s="14" t="s">
        <v>7</v>
      </c>
    </row>
    <row r="72" ht="15.75" customHeight="1">
      <c r="A72" s="23" t="s">
        <v>261</v>
      </c>
      <c r="B72" s="23" t="s">
        <v>42</v>
      </c>
      <c r="C72" s="32" t="s">
        <v>262</v>
      </c>
      <c r="D72" s="24" t="s">
        <v>90</v>
      </c>
      <c r="E72" s="25" t="s">
        <v>33</v>
      </c>
      <c r="F72" s="26">
        <v>4.0</v>
      </c>
      <c r="G72" s="26"/>
      <c r="H72" s="23" t="s">
        <v>263</v>
      </c>
      <c r="I72" s="20" t="s">
        <v>128</v>
      </c>
      <c r="J72" s="14" t="s">
        <v>7</v>
      </c>
    </row>
    <row r="73" ht="22.5" customHeight="1">
      <c r="A73" s="23" t="s">
        <v>264</v>
      </c>
      <c r="B73" s="23" t="s">
        <v>42</v>
      </c>
      <c r="C73" s="23" t="s">
        <v>265</v>
      </c>
      <c r="D73" s="24" t="s">
        <v>90</v>
      </c>
      <c r="E73" s="25" t="s">
        <v>33</v>
      </c>
      <c r="F73" s="26">
        <v>4.0</v>
      </c>
      <c r="G73" s="26"/>
      <c r="H73" s="23" t="s">
        <v>266</v>
      </c>
      <c r="I73" s="20" t="s">
        <v>128</v>
      </c>
      <c r="J73" s="14" t="s">
        <v>7</v>
      </c>
    </row>
    <row r="74" ht="15.75" customHeight="1">
      <c r="A74" s="27" t="s">
        <v>267</v>
      </c>
      <c r="B74" s="27" t="s">
        <v>30</v>
      </c>
      <c r="C74" s="27" t="s">
        <v>268</v>
      </c>
      <c r="D74" s="29" t="s">
        <v>51</v>
      </c>
      <c r="E74" s="30" t="s">
        <v>33</v>
      </c>
      <c r="F74" s="31"/>
      <c r="G74" s="31"/>
      <c r="H74" s="27" t="s">
        <v>269</v>
      </c>
      <c r="I74" s="13" t="s">
        <v>128</v>
      </c>
      <c r="J74" s="14" t="s">
        <v>7</v>
      </c>
    </row>
    <row r="75" ht="15.75" customHeight="1">
      <c r="A75" s="27" t="s">
        <v>270</v>
      </c>
      <c r="B75" s="27" t="s">
        <v>37</v>
      </c>
      <c r="C75" s="27" t="s">
        <v>271</v>
      </c>
      <c r="D75" s="29" t="s">
        <v>51</v>
      </c>
      <c r="E75" s="30" t="s">
        <v>33</v>
      </c>
      <c r="F75" s="31"/>
      <c r="G75" s="31"/>
      <c r="H75" s="27" t="s">
        <v>272</v>
      </c>
      <c r="I75" s="13" t="s">
        <v>128</v>
      </c>
      <c r="J75" s="14" t="s">
        <v>7</v>
      </c>
    </row>
    <row r="76" ht="15.75" customHeight="1">
      <c r="A76" s="23" t="s">
        <v>273</v>
      </c>
      <c r="B76" s="23" t="s">
        <v>42</v>
      </c>
      <c r="C76" s="23" t="s">
        <v>274</v>
      </c>
      <c r="D76" s="24" t="s">
        <v>51</v>
      </c>
      <c r="E76" s="25" t="s">
        <v>33</v>
      </c>
      <c r="F76" s="26">
        <v>3.0</v>
      </c>
      <c r="G76" s="26"/>
      <c r="H76" s="23" t="s">
        <v>275</v>
      </c>
      <c r="I76" s="20" t="s">
        <v>128</v>
      </c>
      <c r="J76" s="14" t="s">
        <v>7</v>
      </c>
    </row>
    <row r="77" ht="15.75" customHeight="1">
      <c r="A77" s="23" t="s">
        <v>276</v>
      </c>
      <c r="B77" s="23" t="s">
        <v>42</v>
      </c>
      <c r="C77" s="23" t="s">
        <v>277</v>
      </c>
      <c r="D77" s="24" t="s">
        <v>51</v>
      </c>
      <c r="E77" s="25" t="s">
        <v>33</v>
      </c>
      <c r="F77" s="26">
        <v>3.0</v>
      </c>
      <c r="G77" s="26"/>
      <c r="H77" s="23" t="s">
        <v>278</v>
      </c>
      <c r="I77" s="20" t="s">
        <v>128</v>
      </c>
      <c r="J77" s="14" t="s">
        <v>7</v>
      </c>
    </row>
    <row r="78" ht="15.75" customHeight="1">
      <c r="A78" s="23" t="s">
        <v>279</v>
      </c>
      <c r="B78" s="23" t="s">
        <v>42</v>
      </c>
      <c r="C78" s="23" t="s">
        <v>280</v>
      </c>
      <c r="D78" s="24" t="s">
        <v>51</v>
      </c>
      <c r="E78" s="25" t="s">
        <v>33</v>
      </c>
      <c r="F78" s="26">
        <v>4.0</v>
      </c>
      <c r="G78" s="26"/>
      <c r="H78" s="23" t="s">
        <v>281</v>
      </c>
      <c r="I78" s="20" t="s">
        <v>128</v>
      </c>
      <c r="J78" s="14" t="s">
        <v>7</v>
      </c>
    </row>
    <row r="79" ht="15.75" customHeight="1">
      <c r="A79" s="23" t="s">
        <v>282</v>
      </c>
      <c r="B79" s="23" t="s">
        <v>42</v>
      </c>
      <c r="C79" s="23" t="s">
        <v>283</v>
      </c>
      <c r="D79" s="24" t="s">
        <v>51</v>
      </c>
      <c r="E79" s="25" t="s">
        <v>33</v>
      </c>
      <c r="F79" s="26">
        <v>4.0</v>
      </c>
      <c r="G79" s="26"/>
      <c r="H79" s="23" t="s">
        <v>284</v>
      </c>
      <c r="I79" s="20" t="s">
        <v>128</v>
      </c>
      <c r="J79" s="14" t="s">
        <v>7</v>
      </c>
    </row>
    <row r="80" ht="15.75" customHeight="1">
      <c r="A80" s="27" t="s">
        <v>285</v>
      </c>
      <c r="B80" s="27" t="s">
        <v>37</v>
      </c>
      <c r="C80" s="27" t="s">
        <v>286</v>
      </c>
      <c r="D80" s="29" t="s">
        <v>51</v>
      </c>
      <c r="E80" s="30" t="s">
        <v>33</v>
      </c>
      <c r="F80" s="31"/>
      <c r="G80" s="31"/>
      <c r="H80" s="27" t="s">
        <v>287</v>
      </c>
      <c r="I80" s="13" t="s">
        <v>128</v>
      </c>
      <c r="J80" s="14" t="s">
        <v>7</v>
      </c>
    </row>
    <row r="81" ht="15.75" customHeight="1">
      <c r="A81" s="23" t="s">
        <v>288</v>
      </c>
      <c r="B81" s="23" t="s">
        <v>42</v>
      </c>
      <c r="C81" s="23" t="s">
        <v>289</v>
      </c>
      <c r="D81" s="24" t="s">
        <v>51</v>
      </c>
      <c r="E81" s="25" t="s">
        <v>33</v>
      </c>
      <c r="F81" s="26">
        <v>3.0</v>
      </c>
      <c r="G81" s="26"/>
      <c r="H81" s="23" t="s">
        <v>290</v>
      </c>
      <c r="I81" s="20" t="s">
        <v>128</v>
      </c>
      <c r="J81" s="14" t="s">
        <v>7</v>
      </c>
    </row>
    <row r="82" ht="15.75" customHeight="1">
      <c r="A82" s="23" t="s">
        <v>291</v>
      </c>
      <c r="B82" s="23" t="s">
        <v>42</v>
      </c>
      <c r="C82" s="23" t="s">
        <v>292</v>
      </c>
      <c r="D82" s="24" t="s">
        <v>51</v>
      </c>
      <c r="E82" s="25" t="s">
        <v>33</v>
      </c>
      <c r="F82" s="26">
        <v>4.0</v>
      </c>
      <c r="G82" s="26"/>
      <c r="H82" s="23" t="s">
        <v>293</v>
      </c>
      <c r="I82" s="20" t="s">
        <v>128</v>
      </c>
      <c r="J82" s="14" t="s">
        <v>7</v>
      </c>
    </row>
    <row r="83" ht="15.75" customHeight="1">
      <c r="A83" s="23" t="s">
        <v>294</v>
      </c>
      <c r="B83" s="23" t="s">
        <v>42</v>
      </c>
      <c r="C83" s="23" t="s">
        <v>295</v>
      </c>
      <c r="D83" s="24" t="s">
        <v>100</v>
      </c>
      <c r="E83" s="25" t="s">
        <v>33</v>
      </c>
      <c r="F83" s="26">
        <v>3.0</v>
      </c>
      <c r="G83" s="26"/>
      <c r="H83" s="23" t="s">
        <v>296</v>
      </c>
      <c r="I83" s="20" t="s">
        <v>128</v>
      </c>
      <c r="J83" s="14" t="s">
        <v>7</v>
      </c>
    </row>
    <row r="84" ht="15.75" customHeight="1">
      <c r="A84" s="23" t="s">
        <v>297</v>
      </c>
      <c r="B84" s="23" t="s">
        <v>42</v>
      </c>
      <c r="C84" s="23" t="s">
        <v>298</v>
      </c>
      <c r="D84" s="24" t="s">
        <v>100</v>
      </c>
      <c r="E84" s="25" t="s">
        <v>56</v>
      </c>
      <c r="F84" s="26">
        <v>3.0</v>
      </c>
      <c r="G84" s="26"/>
      <c r="H84" s="23" t="s">
        <v>299</v>
      </c>
      <c r="I84" s="20" t="s">
        <v>128</v>
      </c>
      <c r="J84" s="14" t="s">
        <v>7</v>
      </c>
    </row>
    <row r="85" ht="15.75" customHeight="1">
      <c r="A85" s="27" t="s">
        <v>300</v>
      </c>
      <c r="B85" s="27" t="s">
        <v>37</v>
      </c>
      <c r="C85" s="27" t="s">
        <v>301</v>
      </c>
      <c r="D85" s="29" t="s">
        <v>51</v>
      </c>
      <c r="E85" s="30" t="s">
        <v>33</v>
      </c>
      <c r="F85" s="31"/>
      <c r="G85" s="31"/>
      <c r="H85" s="27" t="s">
        <v>302</v>
      </c>
      <c r="I85" s="13" t="s">
        <v>128</v>
      </c>
      <c r="J85" s="14" t="s">
        <v>7</v>
      </c>
    </row>
    <row r="86" ht="15.75" customHeight="1">
      <c r="A86" s="23" t="s">
        <v>303</v>
      </c>
      <c r="B86" s="23" t="s">
        <v>42</v>
      </c>
      <c r="C86" s="23" t="s">
        <v>304</v>
      </c>
      <c r="D86" s="24" t="s">
        <v>51</v>
      </c>
      <c r="E86" s="25" t="s">
        <v>33</v>
      </c>
      <c r="F86" s="26">
        <v>4.0</v>
      </c>
      <c r="G86" s="26"/>
      <c r="H86" s="23" t="s">
        <v>305</v>
      </c>
      <c r="I86" s="20" t="s">
        <v>128</v>
      </c>
      <c r="J86" s="14" t="s">
        <v>7</v>
      </c>
    </row>
    <row r="87" ht="15.75" customHeight="1">
      <c r="A87" s="23" t="s">
        <v>306</v>
      </c>
      <c r="B87" s="23" t="s">
        <v>42</v>
      </c>
      <c r="C87" s="23" t="s">
        <v>307</v>
      </c>
      <c r="D87" s="24" t="s">
        <v>51</v>
      </c>
      <c r="E87" s="25" t="s">
        <v>33</v>
      </c>
      <c r="F87" s="26">
        <v>3.0</v>
      </c>
      <c r="G87" s="26"/>
      <c r="H87" s="23" t="s">
        <v>308</v>
      </c>
      <c r="I87" s="20" t="s">
        <v>128</v>
      </c>
      <c r="J87" s="14" t="s">
        <v>7</v>
      </c>
    </row>
    <row r="88" ht="15.75" customHeight="1">
      <c r="A88" s="23" t="s">
        <v>309</v>
      </c>
      <c r="B88" s="23" t="s">
        <v>42</v>
      </c>
      <c r="C88" s="23" t="s">
        <v>310</v>
      </c>
      <c r="D88" s="24" t="s">
        <v>51</v>
      </c>
      <c r="E88" s="25" t="s">
        <v>33</v>
      </c>
      <c r="F88" s="26">
        <v>5.0</v>
      </c>
      <c r="G88" s="26"/>
      <c r="H88" s="23" t="s">
        <v>311</v>
      </c>
      <c r="I88" s="20" t="s">
        <v>128</v>
      </c>
      <c r="J88" s="14" t="s">
        <v>7</v>
      </c>
    </row>
    <row r="89" ht="15.75" customHeight="1">
      <c r="A89" s="23" t="s">
        <v>312</v>
      </c>
      <c r="B89" s="23" t="s">
        <v>42</v>
      </c>
      <c r="C89" s="23" t="s">
        <v>313</v>
      </c>
      <c r="D89" s="24" t="s">
        <v>100</v>
      </c>
      <c r="E89" s="25" t="s">
        <v>33</v>
      </c>
      <c r="F89" s="26">
        <v>3.0</v>
      </c>
      <c r="G89" s="26"/>
      <c r="H89" s="23" t="s">
        <v>314</v>
      </c>
      <c r="I89" s="20" t="s">
        <v>128</v>
      </c>
      <c r="J89" s="14" t="s">
        <v>7</v>
      </c>
    </row>
    <row r="90" ht="15.75" customHeight="1">
      <c r="A90" s="27" t="s">
        <v>315</v>
      </c>
      <c r="B90" s="27" t="s">
        <v>37</v>
      </c>
      <c r="C90" s="27" t="s">
        <v>316</v>
      </c>
      <c r="D90" s="29" t="s">
        <v>100</v>
      </c>
      <c r="E90" s="30" t="s">
        <v>33</v>
      </c>
      <c r="F90" s="31"/>
      <c r="G90" s="31"/>
      <c r="H90" s="27" t="s">
        <v>317</v>
      </c>
      <c r="I90" s="13" t="s">
        <v>128</v>
      </c>
      <c r="J90" s="14" t="s">
        <v>7</v>
      </c>
    </row>
    <row r="91" ht="15.75" customHeight="1">
      <c r="A91" s="23" t="s">
        <v>318</v>
      </c>
      <c r="B91" s="23" t="s">
        <v>42</v>
      </c>
      <c r="C91" s="23" t="s">
        <v>319</v>
      </c>
      <c r="D91" s="24" t="s">
        <v>51</v>
      </c>
      <c r="E91" s="25" t="s">
        <v>33</v>
      </c>
      <c r="F91" s="26">
        <v>4.0</v>
      </c>
      <c r="G91" s="26"/>
      <c r="H91" s="23" t="s">
        <v>320</v>
      </c>
      <c r="I91" s="20" t="s">
        <v>128</v>
      </c>
      <c r="J91" s="14" t="s">
        <v>7</v>
      </c>
    </row>
    <row r="92" ht="15.75" customHeight="1">
      <c r="A92" s="23" t="s">
        <v>321</v>
      </c>
      <c r="B92" s="23" t="s">
        <v>42</v>
      </c>
      <c r="C92" s="23" t="s">
        <v>322</v>
      </c>
      <c r="D92" s="24" t="s">
        <v>100</v>
      </c>
      <c r="E92" s="25" t="s">
        <v>33</v>
      </c>
      <c r="F92" s="26">
        <v>4.0</v>
      </c>
      <c r="G92" s="26"/>
      <c r="H92" s="23" t="s">
        <v>323</v>
      </c>
      <c r="I92" s="20" t="s">
        <v>128</v>
      </c>
      <c r="J92" s="14" t="s">
        <v>7</v>
      </c>
    </row>
    <row r="93" ht="15.75" customHeight="1">
      <c r="A93" s="23" t="s">
        <v>324</v>
      </c>
      <c r="B93" s="23" t="s">
        <v>42</v>
      </c>
      <c r="C93" s="23" t="s">
        <v>325</v>
      </c>
      <c r="D93" s="24" t="s">
        <v>100</v>
      </c>
      <c r="E93" s="25" t="s">
        <v>33</v>
      </c>
      <c r="F93" s="26">
        <v>3.0</v>
      </c>
      <c r="G93" s="26"/>
      <c r="H93" s="23" t="s">
        <v>326</v>
      </c>
      <c r="I93" s="20" t="s">
        <v>128</v>
      </c>
      <c r="J93" s="14" t="s">
        <v>7</v>
      </c>
    </row>
    <row r="94" ht="15.75" customHeight="1">
      <c r="A94" s="27" t="s">
        <v>327</v>
      </c>
      <c r="B94" s="27" t="s">
        <v>30</v>
      </c>
      <c r="C94" s="27" t="s">
        <v>328</v>
      </c>
      <c r="D94" s="29" t="s">
        <v>100</v>
      </c>
      <c r="E94" s="30" t="s">
        <v>33</v>
      </c>
      <c r="F94" s="31"/>
      <c r="G94" s="31"/>
      <c r="H94" s="27" t="s">
        <v>329</v>
      </c>
      <c r="I94" s="13" t="s">
        <v>128</v>
      </c>
      <c r="J94" s="14" t="s">
        <v>10</v>
      </c>
    </row>
    <row r="95" ht="15.75" customHeight="1">
      <c r="A95" s="27" t="s">
        <v>330</v>
      </c>
      <c r="B95" s="27" t="s">
        <v>37</v>
      </c>
      <c r="C95" s="27" t="s">
        <v>331</v>
      </c>
      <c r="D95" s="29" t="s">
        <v>51</v>
      </c>
      <c r="E95" s="30" t="s">
        <v>33</v>
      </c>
      <c r="F95" s="31"/>
      <c r="G95" s="31"/>
      <c r="H95" s="27" t="s">
        <v>332</v>
      </c>
      <c r="I95" s="13" t="s">
        <v>128</v>
      </c>
      <c r="J95" s="14" t="s">
        <v>10</v>
      </c>
    </row>
    <row r="96" ht="15.75" customHeight="1">
      <c r="A96" s="23" t="s">
        <v>333</v>
      </c>
      <c r="B96" s="23" t="s">
        <v>42</v>
      </c>
      <c r="C96" s="23" t="s">
        <v>334</v>
      </c>
      <c r="D96" s="24" t="s">
        <v>51</v>
      </c>
      <c r="E96" s="25" t="s">
        <v>33</v>
      </c>
      <c r="F96" s="26">
        <v>3.0</v>
      </c>
      <c r="G96" s="26"/>
      <c r="H96" s="23" t="s">
        <v>335</v>
      </c>
      <c r="I96" s="20" t="s">
        <v>128</v>
      </c>
      <c r="J96" s="14" t="s">
        <v>10</v>
      </c>
    </row>
    <row r="97" ht="15.75" customHeight="1">
      <c r="A97" s="23" t="s">
        <v>336</v>
      </c>
      <c r="B97" s="23" t="s">
        <v>42</v>
      </c>
      <c r="C97" s="23" t="s">
        <v>337</v>
      </c>
      <c r="D97" s="24" t="s">
        <v>51</v>
      </c>
      <c r="E97" s="25" t="s">
        <v>33</v>
      </c>
      <c r="F97" s="26">
        <v>4.0</v>
      </c>
      <c r="G97" s="26"/>
      <c r="H97" s="23" t="s">
        <v>338</v>
      </c>
      <c r="I97" s="20" t="s">
        <v>128</v>
      </c>
      <c r="J97" s="14" t="s">
        <v>10</v>
      </c>
    </row>
    <row r="98" ht="15.75" customHeight="1">
      <c r="A98" s="23" t="s">
        <v>339</v>
      </c>
      <c r="B98" s="23" t="s">
        <v>42</v>
      </c>
      <c r="C98" s="23" t="s">
        <v>340</v>
      </c>
      <c r="D98" s="24" t="s">
        <v>51</v>
      </c>
      <c r="E98" s="25" t="s">
        <v>33</v>
      </c>
      <c r="F98" s="26">
        <v>3.0</v>
      </c>
      <c r="G98" s="26"/>
      <c r="H98" s="23" t="s">
        <v>341</v>
      </c>
      <c r="I98" s="20" t="s">
        <v>128</v>
      </c>
      <c r="J98" s="14" t="s">
        <v>10</v>
      </c>
    </row>
    <row r="99" ht="15.75" customHeight="1">
      <c r="A99" s="23" t="s">
        <v>342</v>
      </c>
      <c r="B99" s="23" t="s">
        <v>42</v>
      </c>
      <c r="C99" s="23" t="s">
        <v>343</v>
      </c>
      <c r="D99" s="24" t="s">
        <v>100</v>
      </c>
      <c r="E99" s="25" t="s">
        <v>33</v>
      </c>
      <c r="F99" s="26">
        <v>4.0</v>
      </c>
      <c r="G99" s="26"/>
      <c r="H99" s="23" t="s">
        <v>344</v>
      </c>
      <c r="I99" s="20" t="s">
        <v>128</v>
      </c>
      <c r="J99" s="14" t="s">
        <v>345</v>
      </c>
    </row>
    <row r="100" ht="15.75" customHeight="1">
      <c r="A100" s="27" t="s">
        <v>346</v>
      </c>
      <c r="B100" s="27" t="s">
        <v>37</v>
      </c>
      <c r="C100" s="27" t="s">
        <v>347</v>
      </c>
      <c r="D100" s="29" t="s">
        <v>100</v>
      </c>
      <c r="E100" s="30" t="s">
        <v>56</v>
      </c>
      <c r="F100" s="31"/>
      <c r="G100" s="31"/>
      <c r="H100" s="27" t="s">
        <v>348</v>
      </c>
      <c r="I100" s="13" t="s">
        <v>128</v>
      </c>
      <c r="J100" s="14" t="s">
        <v>10</v>
      </c>
    </row>
    <row r="101" ht="15.75" customHeight="1">
      <c r="A101" s="23" t="s">
        <v>349</v>
      </c>
      <c r="B101" s="23" t="s">
        <v>42</v>
      </c>
      <c r="C101" s="23" t="s">
        <v>350</v>
      </c>
      <c r="D101" s="24" t="s">
        <v>51</v>
      </c>
      <c r="E101" s="25" t="s">
        <v>56</v>
      </c>
      <c r="F101" s="26">
        <v>3.0</v>
      </c>
      <c r="G101" s="26"/>
      <c r="H101" s="23" t="s">
        <v>351</v>
      </c>
      <c r="I101" s="20" t="s">
        <v>128</v>
      </c>
      <c r="J101" s="14" t="s">
        <v>10</v>
      </c>
    </row>
    <row r="102" ht="15.75" customHeight="1">
      <c r="A102" s="23" t="s">
        <v>352</v>
      </c>
      <c r="B102" s="23" t="s">
        <v>42</v>
      </c>
      <c r="C102" s="23" t="s">
        <v>353</v>
      </c>
      <c r="D102" s="24" t="s">
        <v>100</v>
      </c>
      <c r="E102" s="25" t="s">
        <v>56</v>
      </c>
      <c r="F102" s="26">
        <v>2.0</v>
      </c>
      <c r="G102" s="26"/>
      <c r="H102" s="23" t="s">
        <v>354</v>
      </c>
      <c r="I102" s="20" t="s">
        <v>128</v>
      </c>
      <c r="J102" s="14" t="s">
        <v>10</v>
      </c>
    </row>
    <row r="103" ht="15.75" customHeight="1">
      <c r="A103" s="23" t="s">
        <v>355</v>
      </c>
      <c r="B103" s="23" t="s">
        <v>42</v>
      </c>
      <c r="C103" s="23" t="s">
        <v>356</v>
      </c>
      <c r="D103" s="24" t="s">
        <v>100</v>
      </c>
      <c r="E103" s="25" t="s">
        <v>33</v>
      </c>
      <c r="F103" s="26">
        <v>3.0</v>
      </c>
      <c r="G103" s="26"/>
      <c r="H103" s="23" t="s">
        <v>357</v>
      </c>
      <c r="I103" s="20" t="s">
        <v>128</v>
      </c>
      <c r="J103" s="14" t="s">
        <v>10</v>
      </c>
    </row>
    <row r="104" ht="15.75" customHeight="1">
      <c r="A104" s="27" t="s">
        <v>358</v>
      </c>
      <c r="B104" s="27" t="s">
        <v>37</v>
      </c>
      <c r="C104" s="27" t="s">
        <v>359</v>
      </c>
      <c r="D104" s="29" t="s">
        <v>126</v>
      </c>
      <c r="E104" s="30" t="s">
        <v>33</v>
      </c>
      <c r="F104" s="31"/>
      <c r="G104" s="31"/>
      <c r="H104" s="27" t="s">
        <v>360</v>
      </c>
      <c r="I104" s="13" t="s">
        <v>128</v>
      </c>
      <c r="J104" s="14" t="s">
        <v>10</v>
      </c>
    </row>
    <row r="105" ht="15.75" customHeight="1">
      <c r="A105" s="23" t="s">
        <v>361</v>
      </c>
      <c r="B105" s="23" t="s">
        <v>42</v>
      </c>
      <c r="C105" s="23" t="s">
        <v>362</v>
      </c>
      <c r="D105" s="24" t="s">
        <v>90</v>
      </c>
      <c r="E105" s="25" t="s">
        <v>33</v>
      </c>
      <c r="F105" s="26">
        <v>3.0</v>
      </c>
      <c r="G105" s="26"/>
      <c r="H105" s="23" t="s">
        <v>363</v>
      </c>
      <c r="I105" s="20" t="s">
        <v>128</v>
      </c>
      <c r="J105" s="14" t="s">
        <v>10</v>
      </c>
    </row>
    <row r="106" ht="15.75" customHeight="1">
      <c r="A106" s="23" t="s">
        <v>364</v>
      </c>
      <c r="B106" s="23" t="s">
        <v>42</v>
      </c>
      <c r="C106" s="23" t="s">
        <v>365</v>
      </c>
      <c r="D106" s="24" t="s">
        <v>51</v>
      </c>
      <c r="E106" s="25" t="s">
        <v>33</v>
      </c>
      <c r="F106" s="26">
        <v>3.0</v>
      </c>
      <c r="G106" s="26"/>
      <c r="H106" s="23" t="s">
        <v>366</v>
      </c>
      <c r="I106" s="20" t="s">
        <v>128</v>
      </c>
      <c r="J106" s="14" t="s">
        <v>10</v>
      </c>
    </row>
    <row r="107" ht="15.75" customHeight="1">
      <c r="A107" s="23" t="s">
        <v>367</v>
      </c>
      <c r="B107" s="23" t="s">
        <v>42</v>
      </c>
      <c r="C107" s="23" t="s">
        <v>368</v>
      </c>
      <c r="D107" s="24" t="s">
        <v>100</v>
      </c>
      <c r="E107" s="25" t="s">
        <v>33</v>
      </c>
      <c r="F107" s="26">
        <v>3.0</v>
      </c>
      <c r="G107" s="26"/>
      <c r="H107" s="23" t="s">
        <v>369</v>
      </c>
      <c r="I107" s="20" t="s">
        <v>128</v>
      </c>
      <c r="J107" s="14" t="s">
        <v>10</v>
      </c>
    </row>
    <row r="108" ht="15.75" customHeight="1">
      <c r="A108" s="27" t="s">
        <v>370</v>
      </c>
      <c r="B108" s="27" t="s">
        <v>37</v>
      </c>
      <c r="C108" s="27" t="s">
        <v>371</v>
      </c>
      <c r="D108" s="29" t="s">
        <v>126</v>
      </c>
      <c r="E108" s="30" t="s">
        <v>56</v>
      </c>
      <c r="F108" s="31"/>
      <c r="G108" s="31"/>
      <c r="H108" s="27" t="s">
        <v>372</v>
      </c>
      <c r="I108" s="13" t="s">
        <v>128</v>
      </c>
      <c r="J108" s="14" t="s">
        <v>10</v>
      </c>
    </row>
    <row r="109" ht="15.75" customHeight="1">
      <c r="A109" s="23" t="s">
        <v>373</v>
      </c>
      <c r="B109" s="23" t="s">
        <v>42</v>
      </c>
      <c r="C109" s="23" t="s">
        <v>374</v>
      </c>
      <c r="D109" s="24" t="s">
        <v>90</v>
      </c>
      <c r="E109" s="25" t="s">
        <v>56</v>
      </c>
      <c r="F109" s="26">
        <v>4.0</v>
      </c>
      <c r="G109" s="26"/>
      <c r="H109" s="23" t="s">
        <v>375</v>
      </c>
      <c r="I109" s="20" t="s">
        <v>128</v>
      </c>
      <c r="J109" s="14" t="s">
        <v>10</v>
      </c>
    </row>
    <row r="110" ht="15.75" customHeight="1">
      <c r="A110" s="23" t="s">
        <v>376</v>
      </c>
      <c r="B110" s="23" t="s">
        <v>42</v>
      </c>
      <c r="C110" s="23" t="s">
        <v>377</v>
      </c>
      <c r="D110" s="24" t="s">
        <v>90</v>
      </c>
      <c r="E110" s="25" t="s">
        <v>56</v>
      </c>
      <c r="F110" s="26">
        <v>4.0</v>
      </c>
      <c r="G110" s="26"/>
      <c r="H110" s="23" t="s">
        <v>378</v>
      </c>
      <c r="I110" s="20" t="s">
        <v>128</v>
      </c>
      <c r="J110" s="14" t="s">
        <v>10</v>
      </c>
    </row>
    <row r="111" ht="15.75" customHeight="1">
      <c r="A111" s="23" t="s">
        <v>379</v>
      </c>
      <c r="B111" s="23" t="s">
        <v>42</v>
      </c>
      <c r="C111" s="23" t="s">
        <v>380</v>
      </c>
      <c r="D111" s="24" t="s">
        <v>51</v>
      </c>
      <c r="E111" s="25" t="s">
        <v>56</v>
      </c>
      <c r="F111" s="26">
        <v>4.0</v>
      </c>
      <c r="G111" s="26"/>
      <c r="H111" s="23" t="s">
        <v>381</v>
      </c>
      <c r="I111" s="20" t="s">
        <v>128</v>
      </c>
      <c r="J111" s="14" t="s">
        <v>10</v>
      </c>
    </row>
    <row r="112" ht="15.75" customHeight="1">
      <c r="A112" s="23" t="s">
        <v>382</v>
      </c>
      <c r="B112" s="23" t="s">
        <v>42</v>
      </c>
      <c r="C112" s="23" t="s">
        <v>383</v>
      </c>
      <c r="D112" s="24" t="s">
        <v>126</v>
      </c>
      <c r="E112" s="25" t="s">
        <v>56</v>
      </c>
      <c r="F112" s="26">
        <v>3.0</v>
      </c>
      <c r="G112" s="26"/>
      <c r="H112" s="23" t="s">
        <v>384</v>
      </c>
      <c r="I112" s="20" t="s">
        <v>128</v>
      </c>
      <c r="J112" s="14" t="s">
        <v>10</v>
      </c>
    </row>
    <row r="113" ht="15.75" customHeight="1">
      <c r="A113" s="27" t="s">
        <v>385</v>
      </c>
      <c r="B113" s="27" t="s">
        <v>30</v>
      </c>
      <c r="C113" s="27" t="s">
        <v>386</v>
      </c>
      <c r="D113" s="29" t="s">
        <v>100</v>
      </c>
      <c r="E113" s="30" t="s">
        <v>33</v>
      </c>
      <c r="F113" s="31"/>
      <c r="G113" s="31"/>
      <c r="H113" s="27" t="s">
        <v>387</v>
      </c>
      <c r="I113" s="13" t="s">
        <v>128</v>
      </c>
      <c r="J113" s="14" t="s">
        <v>13</v>
      </c>
    </row>
    <row r="114" ht="15.75" customHeight="1">
      <c r="A114" s="27" t="s">
        <v>388</v>
      </c>
      <c r="B114" s="27" t="s">
        <v>37</v>
      </c>
      <c r="C114" s="27" t="s">
        <v>389</v>
      </c>
      <c r="D114" s="29" t="s">
        <v>51</v>
      </c>
      <c r="E114" s="30" t="s">
        <v>33</v>
      </c>
      <c r="F114" s="31"/>
      <c r="G114" s="31"/>
      <c r="H114" s="27" t="s">
        <v>390</v>
      </c>
      <c r="I114" s="13" t="s">
        <v>128</v>
      </c>
      <c r="J114" s="14" t="s">
        <v>391</v>
      </c>
    </row>
    <row r="115" ht="15.75" customHeight="1">
      <c r="A115" s="23" t="s">
        <v>392</v>
      </c>
      <c r="B115" s="23" t="s">
        <v>42</v>
      </c>
      <c r="C115" s="23" t="s">
        <v>393</v>
      </c>
      <c r="D115" s="24" t="s">
        <v>51</v>
      </c>
      <c r="E115" s="25" t="s">
        <v>33</v>
      </c>
      <c r="F115" s="26">
        <v>6.0</v>
      </c>
      <c r="G115" s="26"/>
      <c r="H115" s="23" t="s">
        <v>394</v>
      </c>
      <c r="I115" s="20" t="s">
        <v>128</v>
      </c>
      <c r="J115" s="14" t="s">
        <v>391</v>
      </c>
    </row>
    <row r="116" ht="15.75" customHeight="1">
      <c r="A116" s="23" t="s">
        <v>395</v>
      </c>
      <c r="B116" s="23" t="s">
        <v>42</v>
      </c>
      <c r="C116" s="23" t="s">
        <v>396</v>
      </c>
      <c r="D116" s="24" t="s">
        <v>51</v>
      </c>
      <c r="E116" s="25" t="s">
        <v>33</v>
      </c>
      <c r="F116" s="26">
        <v>6.0</v>
      </c>
      <c r="G116" s="26"/>
      <c r="H116" s="23" t="s">
        <v>394</v>
      </c>
      <c r="I116" s="20" t="s">
        <v>128</v>
      </c>
      <c r="J116" s="14" t="s">
        <v>391</v>
      </c>
    </row>
    <row r="117" ht="15.75" customHeight="1">
      <c r="A117" s="23" t="s">
        <v>397</v>
      </c>
      <c r="B117" s="23" t="s">
        <v>42</v>
      </c>
      <c r="C117" s="23" t="s">
        <v>398</v>
      </c>
      <c r="D117" s="24" t="s">
        <v>100</v>
      </c>
      <c r="E117" s="25" t="s">
        <v>33</v>
      </c>
      <c r="F117" s="26">
        <v>5.0</v>
      </c>
      <c r="G117" s="26"/>
      <c r="H117" s="23" t="s">
        <v>399</v>
      </c>
      <c r="I117" s="20" t="s">
        <v>128</v>
      </c>
      <c r="J117" s="14" t="s">
        <v>391</v>
      </c>
    </row>
    <row r="118" ht="15.75" customHeight="1">
      <c r="A118" s="27" t="s">
        <v>400</v>
      </c>
      <c r="B118" s="27" t="s">
        <v>37</v>
      </c>
      <c r="C118" s="27" t="s">
        <v>401</v>
      </c>
      <c r="D118" s="29" t="s">
        <v>100</v>
      </c>
      <c r="E118" s="30" t="s">
        <v>33</v>
      </c>
      <c r="F118" s="31"/>
      <c r="G118" s="31"/>
      <c r="H118" s="27" t="s">
        <v>402</v>
      </c>
      <c r="I118" s="13" t="s">
        <v>128</v>
      </c>
      <c r="J118" s="14" t="s">
        <v>391</v>
      </c>
    </row>
    <row r="119" ht="15.75" customHeight="1">
      <c r="A119" s="23" t="s">
        <v>403</v>
      </c>
      <c r="B119" s="23" t="s">
        <v>42</v>
      </c>
      <c r="C119" s="23" t="s">
        <v>404</v>
      </c>
      <c r="D119" s="24" t="s">
        <v>100</v>
      </c>
      <c r="E119" s="25" t="s">
        <v>33</v>
      </c>
      <c r="F119" s="26">
        <v>4.0</v>
      </c>
      <c r="G119" s="26"/>
      <c r="H119" s="23" t="s">
        <v>405</v>
      </c>
      <c r="I119" s="20" t="s">
        <v>128</v>
      </c>
      <c r="J119" s="14" t="s">
        <v>391</v>
      </c>
    </row>
    <row r="120" ht="15.75" customHeight="1">
      <c r="A120" s="23" t="s">
        <v>406</v>
      </c>
      <c r="B120" s="23" t="s">
        <v>42</v>
      </c>
      <c r="C120" s="23" t="s">
        <v>407</v>
      </c>
      <c r="D120" s="24" t="s">
        <v>100</v>
      </c>
      <c r="E120" s="25" t="s">
        <v>33</v>
      </c>
      <c r="F120" s="26">
        <v>4.0</v>
      </c>
      <c r="G120" s="26"/>
      <c r="H120" s="23" t="s">
        <v>405</v>
      </c>
      <c r="I120" s="20" t="s">
        <v>128</v>
      </c>
      <c r="J120" s="14" t="s">
        <v>391</v>
      </c>
    </row>
    <row r="121" ht="15.75" customHeight="1">
      <c r="A121" s="23" t="s">
        <v>408</v>
      </c>
      <c r="B121" s="23" t="s">
        <v>42</v>
      </c>
      <c r="C121" s="23" t="s">
        <v>409</v>
      </c>
      <c r="D121" s="24" t="s">
        <v>167</v>
      </c>
      <c r="E121" s="25" t="s">
        <v>33</v>
      </c>
      <c r="F121" s="26">
        <v>3.0</v>
      </c>
      <c r="G121" s="26"/>
      <c r="H121" s="23" t="s">
        <v>410</v>
      </c>
      <c r="I121" s="20" t="s">
        <v>128</v>
      </c>
      <c r="J121" s="14" t="s">
        <v>391</v>
      </c>
    </row>
    <row r="122" ht="15.75" customHeight="1">
      <c r="A122" s="27" t="s">
        <v>411</v>
      </c>
      <c r="B122" s="27" t="s">
        <v>37</v>
      </c>
      <c r="C122" s="27" t="s">
        <v>412</v>
      </c>
      <c r="D122" s="29" t="s">
        <v>100</v>
      </c>
      <c r="E122" s="30" t="s">
        <v>33</v>
      </c>
      <c r="F122" s="31"/>
      <c r="G122" s="31"/>
      <c r="H122" s="27" t="s">
        <v>413</v>
      </c>
      <c r="I122" s="13" t="s">
        <v>128</v>
      </c>
      <c r="J122" s="14" t="s">
        <v>391</v>
      </c>
    </row>
    <row r="123" ht="15.75" customHeight="1">
      <c r="A123" s="23" t="s">
        <v>414</v>
      </c>
      <c r="B123" s="23" t="s">
        <v>42</v>
      </c>
      <c r="C123" s="23" t="s">
        <v>415</v>
      </c>
      <c r="D123" s="24" t="s">
        <v>100</v>
      </c>
      <c r="E123" s="25" t="s">
        <v>33</v>
      </c>
      <c r="F123" s="26">
        <v>5.0</v>
      </c>
      <c r="G123" s="26"/>
      <c r="H123" s="23" t="s">
        <v>416</v>
      </c>
      <c r="I123" s="20" t="s">
        <v>128</v>
      </c>
      <c r="J123" s="14" t="s">
        <v>391</v>
      </c>
    </row>
    <row r="124" ht="15.75" customHeight="1">
      <c r="A124" s="23" t="s">
        <v>417</v>
      </c>
      <c r="B124" s="23" t="s">
        <v>42</v>
      </c>
      <c r="C124" s="23" t="s">
        <v>418</v>
      </c>
      <c r="D124" s="24" t="s">
        <v>51</v>
      </c>
      <c r="E124" s="25" t="s">
        <v>33</v>
      </c>
      <c r="F124" s="26">
        <v>4.0</v>
      </c>
      <c r="G124" s="26"/>
      <c r="H124" s="23" t="s">
        <v>419</v>
      </c>
      <c r="I124" s="20" t="s">
        <v>128</v>
      </c>
      <c r="J124" s="14" t="s">
        <v>391</v>
      </c>
    </row>
    <row r="125" ht="15.75" customHeight="1">
      <c r="A125" s="23" t="s">
        <v>420</v>
      </c>
      <c r="B125" s="23" t="s">
        <v>42</v>
      </c>
      <c r="C125" s="23" t="s">
        <v>421</v>
      </c>
      <c r="D125" s="24" t="s">
        <v>100</v>
      </c>
      <c r="E125" s="25" t="s">
        <v>33</v>
      </c>
      <c r="F125" s="26">
        <v>4.0</v>
      </c>
      <c r="G125" s="26"/>
      <c r="H125" s="23" t="s">
        <v>422</v>
      </c>
      <c r="I125" s="20" t="s">
        <v>128</v>
      </c>
      <c r="J125" s="14" t="s">
        <v>391</v>
      </c>
    </row>
    <row r="126" ht="15.75" customHeight="1">
      <c r="A126" s="23" t="s">
        <v>423</v>
      </c>
      <c r="B126" s="23" t="s">
        <v>42</v>
      </c>
      <c r="C126" s="23" t="s">
        <v>424</v>
      </c>
      <c r="D126" s="24" t="s">
        <v>167</v>
      </c>
      <c r="E126" s="25" t="s">
        <v>33</v>
      </c>
      <c r="F126" s="26">
        <v>5.0</v>
      </c>
      <c r="G126" s="26"/>
      <c r="H126" s="23" t="s">
        <v>425</v>
      </c>
      <c r="I126" s="20" t="s">
        <v>128</v>
      </c>
      <c r="J126" s="14" t="s">
        <v>391</v>
      </c>
    </row>
    <row r="127" ht="15.75" customHeight="1">
      <c r="A127" s="23" t="s">
        <v>426</v>
      </c>
      <c r="B127" s="23" t="s">
        <v>42</v>
      </c>
      <c r="C127" s="23" t="s">
        <v>427</v>
      </c>
      <c r="D127" s="24" t="s">
        <v>100</v>
      </c>
      <c r="E127" s="25" t="s">
        <v>33</v>
      </c>
      <c r="F127" s="26">
        <v>4.0</v>
      </c>
      <c r="G127" s="26"/>
      <c r="H127" s="23" t="s">
        <v>428</v>
      </c>
      <c r="I127" s="20" t="s">
        <v>128</v>
      </c>
      <c r="J127" s="14" t="s">
        <v>391</v>
      </c>
    </row>
    <row r="128" ht="15.75" customHeight="1">
      <c r="A128" s="27" t="s">
        <v>429</v>
      </c>
      <c r="B128" s="27" t="s">
        <v>37</v>
      </c>
      <c r="C128" s="27" t="s">
        <v>430</v>
      </c>
      <c r="D128" s="29" t="s">
        <v>126</v>
      </c>
      <c r="E128" s="30" t="s">
        <v>33</v>
      </c>
      <c r="F128" s="31"/>
      <c r="G128" s="31"/>
      <c r="H128" s="27" t="s">
        <v>431</v>
      </c>
      <c r="I128" s="13" t="s">
        <v>128</v>
      </c>
      <c r="J128" s="14" t="s">
        <v>391</v>
      </c>
    </row>
    <row r="129" ht="15.75" customHeight="1">
      <c r="A129" s="23" t="s">
        <v>432</v>
      </c>
      <c r="B129" s="23" t="s">
        <v>42</v>
      </c>
      <c r="C129" s="23" t="s">
        <v>433</v>
      </c>
      <c r="D129" s="24" t="s">
        <v>193</v>
      </c>
      <c r="E129" s="25" t="s">
        <v>33</v>
      </c>
      <c r="F129" s="26">
        <v>3.0</v>
      </c>
      <c r="G129" s="26"/>
      <c r="H129" s="23" t="s">
        <v>434</v>
      </c>
      <c r="I129" s="20" t="s">
        <v>128</v>
      </c>
      <c r="J129" s="14" t="s">
        <v>391</v>
      </c>
    </row>
    <row r="130" ht="15.75" customHeight="1">
      <c r="A130" s="23" t="s">
        <v>435</v>
      </c>
      <c r="B130" s="23" t="s">
        <v>42</v>
      </c>
      <c r="C130" s="23" t="s">
        <v>436</v>
      </c>
      <c r="D130" s="24" t="s">
        <v>126</v>
      </c>
      <c r="E130" s="25" t="s">
        <v>33</v>
      </c>
      <c r="F130" s="26">
        <v>3.0</v>
      </c>
      <c r="G130" s="26"/>
      <c r="H130" s="23" t="s">
        <v>437</v>
      </c>
      <c r="I130" s="20" t="s">
        <v>128</v>
      </c>
      <c r="J130" s="14" t="s">
        <v>391</v>
      </c>
    </row>
    <row r="131" ht="15.75" customHeight="1">
      <c r="A131" s="27" t="s">
        <v>438</v>
      </c>
      <c r="B131" s="27" t="s">
        <v>30</v>
      </c>
      <c r="C131" s="27" t="s">
        <v>439</v>
      </c>
      <c r="D131" s="29" t="s">
        <v>440</v>
      </c>
      <c r="E131" s="30" t="s">
        <v>33</v>
      </c>
      <c r="F131" s="31"/>
      <c r="G131" s="31"/>
      <c r="H131" s="27" t="s">
        <v>441</v>
      </c>
      <c r="I131" s="13" t="s">
        <v>128</v>
      </c>
      <c r="J131" s="14" t="s">
        <v>391</v>
      </c>
    </row>
    <row r="132" ht="15.75" customHeight="1">
      <c r="A132" s="27" t="s">
        <v>442</v>
      </c>
      <c r="B132" s="27" t="s">
        <v>37</v>
      </c>
      <c r="C132" s="27" t="s">
        <v>443</v>
      </c>
      <c r="D132" s="29" t="s">
        <v>100</v>
      </c>
      <c r="E132" s="30" t="s">
        <v>33</v>
      </c>
      <c r="F132" s="31"/>
      <c r="G132" s="31"/>
      <c r="H132" s="27" t="s">
        <v>444</v>
      </c>
      <c r="I132" s="13" t="s">
        <v>128</v>
      </c>
      <c r="J132" s="14" t="s">
        <v>391</v>
      </c>
    </row>
    <row r="133" ht="15.75" customHeight="1">
      <c r="A133" s="23" t="s">
        <v>445</v>
      </c>
      <c r="B133" s="23" t="s">
        <v>42</v>
      </c>
      <c r="C133" s="23" t="s">
        <v>446</v>
      </c>
      <c r="D133" s="24" t="s">
        <v>100</v>
      </c>
      <c r="E133" s="25" t="s">
        <v>33</v>
      </c>
      <c r="F133" s="26">
        <v>5.0</v>
      </c>
      <c r="G133" s="26"/>
      <c r="H133" s="23" t="s">
        <v>447</v>
      </c>
      <c r="I133" s="20" t="s">
        <v>128</v>
      </c>
      <c r="J133" s="14" t="s">
        <v>391</v>
      </c>
    </row>
    <row r="134" ht="15.75" customHeight="1">
      <c r="A134" s="23" t="s">
        <v>448</v>
      </c>
      <c r="B134" s="23" t="s">
        <v>42</v>
      </c>
      <c r="C134" s="23" t="s">
        <v>449</v>
      </c>
      <c r="D134" s="24" t="s">
        <v>100</v>
      </c>
      <c r="E134" s="25" t="s">
        <v>33</v>
      </c>
      <c r="F134" s="26">
        <v>5.0</v>
      </c>
      <c r="G134" s="26"/>
      <c r="H134" s="23" t="s">
        <v>450</v>
      </c>
      <c r="I134" s="20" t="s">
        <v>128</v>
      </c>
      <c r="J134" s="14" t="s">
        <v>391</v>
      </c>
    </row>
    <row r="135" ht="15.75" customHeight="1">
      <c r="A135" s="23" t="s">
        <v>451</v>
      </c>
      <c r="B135" s="23" t="s">
        <v>42</v>
      </c>
      <c r="C135" s="23" t="s">
        <v>452</v>
      </c>
      <c r="D135" s="24" t="s">
        <v>100</v>
      </c>
      <c r="E135" s="25" t="s">
        <v>33</v>
      </c>
      <c r="F135" s="26">
        <v>4.0</v>
      </c>
      <c r="G135" s="26"/>
      <c r="H135" s="23" t="s">
        <v>453</v>
      </c>
      <c r="I135" s="20" t="s">
        <v>128</v>
      </c>
      <c r="J135" s="14" t="s">
        <v>391</v>
      </c>
    </row>
    <row r="136" ht="15.75" customHeight="1">
      <c r="A136" s="27" t="s">
        <v>454</v>
      </c>
      <c r="B136" s="27" t="s">
        <v>37</v>
      </c>
      <c r="C136" s="27" t="s">
        <v>455</v>
      </c>
      <c r="D136" s="29" t="s">
        <v>55</v>
      </c>
      <c r="E136" s="30" t="s">
        <v>56</v>
      </c>
      <c r="F136" s="31"/>
      <c r="G136" s="31"/>
      <c r="H136" s="27" t="s">
        <v>456</v>
      </c>
      <c r="I136" s="13" t="s">
        <v>128</v>
      </c>
      <c r="J136" s="14" t="s">
        <v>391</v>
      </c>
    </row>
    <row r="137" ht="15.75" customHeight="1">
      <c r="A137" s="23" t="s">
        <v>457</v>
      </c>
      <c r="B137" s="23" t="s">
        <v>42</v>
      </c>
      <c r="C137" s="23" t="s">
        <v>458</v>
      </c>
      <c r="D137" s="24" t="s">
        <v>55</v>
      </c>
      <c r="E137" s="25" t="s">
        <v>56</v>
      </c>
      <c r="F137" s="26">
        <v>4.0</v>
      </c>
      <c r="G137" s="26"/>
      <c r="H137" s="23" t="s">
        <v>459</v>
      </c>
      <c r="I137" s="20" t="s">
        <v>128</v>
      </c>
      <c r="J137" s="14" t="s">
        <v>391</v>
      </c>
    </row>
    <row r="138" ht="15.75" customHeight="1">
      <c r="A138" s="23" t="s">
        <v>460</v>
      </c>
      <c r="B138" s="23" t="s">
        <v>42</v>
      </c>
      <c r="C138" s="23" t="s">
        <v>461</v>
      </c>
      <c r="D138" s="24" t="s">
        <v>55</v>
      </c>
      <c r="E138" s="25" t="s">
        <v>56</v>
      </c>
      <c r="F138" s="26">
        <v>3.0</v>
      </c>
      <c r="G138" s="26"/>
      <c r="H138" s="23" t="s">
        <v>462</v>
      </c>
      <c r="I138" s="20" t="s">
        <v>128</v>
      </c>
      <c r="J138" s="14" t="s">
        <v>391</v>
      </c>
    </row>
    <row r="139" ht="15.75" customHeight="1">
      <c r="A139" s="27" t="s">
        <v>463</v>
      </c>
      <c r="B139" s="27" t="s">
        <v>37</v>
      </c>
      <c r="C139" s="27" t="s">
        <v>464</v>
      </c>
      <c r="D139" s="29" t="s">
        <v>440</v>
      </c>
      <c r="E139" s="30" t="s">
        <v>33</v>
      </c>
      <c r="F139" s="31"/>
      <c r="G139" s="31"/>
      <c r="H139" s="27" t="s">
        <v>465</v>
      </c>
      <c r="I139" s="13" t="s">
        <v>128</v>
      </c>
      <c r="J139" s="14" t="s">
        <v>391</v>
      </c>
    </row>
    <row r="140" ht="15.75" customHeight="1">
      <c r="A140" s="23" t="s">
        <v>466</v>
      </c>
      <c r="B140" s="23" t="s">
        <v>42</v>
      </c>
      <c r="C140" s="23" t="s">
        <v>467</v>
      </c>
      <c r="D140" s="24" t="s">
        <v>193</v>
      </c>
      <c r="E140" s="25" t="s">
        <v>33</v>
      </c>
      <c r="F140" s="26">
        <v>4.0</v>
      </c>
      <c r="G140" s="26"/>
      <c r="H140" s="23" t="s">
        <v>468</v>
      </c>
      <c r="I140" s="20" t="s">
        <v>128</v>
      </c>
      <c r="J140" s="14" t="s">
        <v>391</v>
      </c>
    </row>
    <row r="141" ht="15.75" customHeight="1">
      <c r="A141" s="23" t="s">
        <v>469</v>
      </c>
      <c r="B141" s="23" t="s">
        <v>42</v>
      </c>
      <c r="C141" s="23" t="s">
        <v>470</v>
      </c>
      <c r="D141" s="24" t="s">
        <v>471</v>
      </c>
      <c r="E141" s="25" t="s">
        <v>56</v>
      </c>
      <c r="F141" s="26">
        <v>3.0</v>
      </c>
      <c r="G141" s="26"/>
      <c r="H141" s="23" t="s">
        <v>472</v>
      </c>
      <c r="I141" s="20" t="s">
        <v>128</v>
      </c>
      <c r="J141" s="14" t="s">
        <v>391</v>
      </c>
    </row>
    <row r="142" ht="15.75" customHeight="1">
      <c r="A142" s="27" t="s">
        <v>473</v>
      </c>
      <c r="B142" s="27" t="s">
        <v>37</v>
      </c>
      <c r="C142" s="27" t="s">
        <v>474</v>
      </c>
      <c r="D142" s="29" t="s">
        <v>60</v>
      </c>
      <c r="E142" s="30" t="s">
        <v>33</v>
      </c>
      <c r="F142" s="31"/>
      <c r="G142" s="31"/>
      <c r="H142" s="27" t="s">
        <v>475</v>
      </c>
      <c r="I142" s="13" t="s">
        <v>128</v>
      </c>
      <c r="J142" s="14" t="s">
        <v>391</v>
      </c>
    </row>
    <row r="143" ht="15.75" customHeight="1">
      <c r="A143" s="23" t="s">
        <v>476</v>
      </c>
      <c r="B143" s="23" t="s">
        <v>42</v>
      </c>
      <c r="C143" s="23" t="s">
        <v>477</v>
      </c>
      <c r="D143" s="24" t="s">
        <v>60</v>
      </c>
      <c r="E143" s="25" t="s">
        <v>33</v>
      </c>
      <c r="F143" s="26">
        <v>4.0</v>
      </c>
      <c r="G143" s="26"/>
      <c r="H143" s="23" t="s">
        <v>478</v>
      </c>
      <c r="I143" s="20" t="s">
        <v>128</v>
      </c>
      <c r="J143" s="14" t="s">
        <v>391</v>
      </c>
    </row>
    <row r="144" ht="15.75" customHeight="1">
      <c r="A144" s="23" t="s">
        <v>479</v>
      </c>
      <c r="B144" s="23" t="s">
        <v>42</v>
      </c>
      <c r="C144" s="23" t="s">
        <v>480</v>
      </c>
      <c r="D144" s="24" t="s">
        <v>60</v>
      </c>
      <c r="E144" s="25" t="s">
        <v>33</v>
      </c>
      <c r="F144" s="26">
        <v>3.0</v>
      </c>
      <c r="G144" s="26"/>
      <c r="H144" s="23" t="s">
        <v>481</v>
      </c>
      <c r="I144" s="20" t="s">
        <v>128</v>
      </c>
      <c r="J144" s="14" t="s">
        <v>391</v>
      </c>
    </row>
    <row r="145" ht="15.75" customHeight="1">
      <c r="A145" s="23" t="s">
        <v>482</v>
      </c>
      <c r="B145" s="23" t="s">
        <v>42</v>
      </c>
      <c r="C145" s="23" t="s">
        <v>483</v>
      </c>
      <c r="D145" s="24" t="s">
        <v>60</v>
      </c>
      <c r="E145" s="25" t="s">
        <v>56</v>
      </c>
      <c r="F145" s="26">
        <v>5.0</v>
      </c>
      <c r="G145" s="26"/>
      <c r="H145" s="23" t="s">
        <v>484</v>
      </c>
      <c r="I145" s="20" t="s">
        <v>128</v>
      </c>
      <c r="J145" s="14" t="s">
        <v>391</v>
      </c>
    </row>
    <row r="146" ht="15.75" customHeight="1">
      <c r="A146" s="23" t="s">
        <v>485</v>
      </c>
      <c r="B146" s="23" t="s">
        <v>42</v>
      </c>
      <c r="C146" s="23" t="s">
        <v>486</v>
      </c>
      <c r="D146" s="24" t="s">
        <v>60</v>
      </c>
      <c r="E146" s="25" t="s">
        <v>56</v>
      </c>
      <c r="F146" s="26">
        <v>3.0</v>
      </c>
      <c r="G146" s="26"/>
      <c r="H146" s="23" t="s">
        <v>487</v>
      </c>
      <c r="I146" s="20" t="s">
        <v>128</v>
      </c>
      <c r="J146" s="14" t="s">
        <v>391</v>
      </c>
    </row>
    <row r="147" ht="15.75" customHeight="1"/>
    <row r="148" ht="15.75" customHeight="1">
      <c r="C148" s="33"/>
    </row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DropDown="1" showErrorMessage="1" sqref="B2:B67">
      <formula1>"Épica,Historia,Tarea"</formula1>
    </dataValidation>
    <dataValidation type="custom" allowBlank="1" showDropDown="1" sqref="F2:F146">
      <formula1>AND(ISNUMBER(F2),(NOT(OR(NOT(ISERROR(DATEVALUE(F2))), AND(ISNUMBER(F2), LEFT(CELL("format", F2))="D")))))</formula1>
    </dataValidation>
    <dataValidation type="list" allowBlank="1" showDropDown="1" sqref="D2:D146">
      <formula1>"OE1,OE2,OE3,OG,OE4,OE2, OE3,OE1, OE2, OE3,OG, OE1, OE2, OE3,OG, OE1, OE2, OE3, OE4,OE1, OE2,OG, OE1, OE2, OE4,OG, OE2, OE3, OE4,OE1, OE2, OE3, OE4,OG, OE3, OE4,OG, OE3, OE4,OG, OE3"</formula1>
    </dataValidation>
    <dataValidation type="list" allowBlank="1" showDropDown="1" showErrorMessage="1" sqref="E2:E67">
      <formula1>"Alta,Media"</formula1>
    </dataValidation>
  </dataValidations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8.0"/>
    <col customWidth="1" min="3" max="3" width="22.0"/>
    <col customWidth="1" min="4" max="4" width="55.0"/>
    <col customWidth="1" min="5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2">
        <f>SUMIF(Backlog!J:J, A2, Backlog!F:F)</f>
        <v>80</v>
      </c>
      <c r="D2" s="2" t="s">
        <v>6</v>
      </c>
    </row>
    <row r="3">
      <c r="A3" s="2" t="s">
        <v>7</v>
      </c>
      <c r="B3" s="2" t="s">
        <v>8</v>
      </c>
      <c r="C3" s="2">
        <f>SUMIF(Backlog!J:J, A3, Backlog!F:F)</f>
        <v>168</v>
      </c>
      <c r="D3" s="3" t="s">
        <v>9</v>
      </c>
    </row>
    <row r="4">
      <c r="A4" s="2" t="s">
        <v>10</v>
      </c>
      <c r="B4" s="2" t="s">
        <v>11</v>
      </c>
      <c r="C4" s="2">
        <f>SUMIF(Backlog!J:J, A4, Backlog!F:F)</f>
        <v>42</v>
      </c>
      <c r="D4" s="3" t="s">
        <v>12</v>
      </c>
    </row>
    <row r="5">
      <c r="A5" s="2" t="s">
        <v>13</v>
      </c>
      <c r="B5" s="2" t="s">
        <v>14</v>
      </c>
      <c r="C5" s="2">
        <f>SUMIF(Backlog!J:J, A5, Backlog!F:F)</f>
        <v>0</v>
      </c>
      <c r="D5" s="2" t="s">
        <v>15</v>
      </c>
    </row>
    <row r="6">
      <c r="A6" s="4"/>
      <c r="B6" s="4"/>
      <c r="C6" s="4"/>
      <c r="D6" s="4"/>
    </row>
    <row r="7">
      <c r="A7" s="1" t="s">
        <v>16</v>
      </c>
      <c r="B7" s="1" t="s">
        <v>17</v>
      </c>
      <c r="C7" s="4"/>
      <c r="D7" s="4"/>
    </row>
    <row r="8">
      <c r="A8" s="4" t="s">
        <v>18</v>
      </c>
      <c r="B8" s="4">
        <f>SUM(Backlog!F:F)</f>
        <v>393</v>
      </c>
      <c r="C8" s="4"/>
      <c r="D8" s="4"/>
    </row>
    <row r="9">
      <c r="A9" s="4" t="s">
        <v>19</v>
      </c>
      <c r="B9" s="4">
        <f>COUNT(Backlog!F:F)</f>
        <v>106</v>
      </c>
      <c r="C9" s="4"/>
      <c r="D9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