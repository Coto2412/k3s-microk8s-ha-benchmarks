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Resumen" sheetId="2" r:id="rId6"/>
  </sheets>
  <definedNames/>
  <calcPr/>
</workbook>
</file>

<file path=xl/sharedStrings.xml><?xml version="1.0" encoding="utf-8"?>
<sst xmlns="http://schemas.openxmlformats.org/spreadsheetml/2006/main" count="1447" uniqueCount="580">
  <si>
    <t>Etapa</t>
  </si>
  <si>
    <t>Fecha evaluación</t>
  </si>
  <si>
    <t>Foco principal</t>
  </si>
  <si>
    <t>Horas estimadas</t>
  </si>
  <si>
    <t>Horas reales</t>
  </si>
  <si>
    <t>Tareas totales</t>
  </si>
  <si>
    <t>Tareas realizadas</t>
  </si>
  <si>
    <t>Etapa 1</t>
  </si>
  <si>
    <t>Problema, investigación, objetivos y requerimientos</t>
  </si>
  <si>
    <t>ID</t>
  </si>
  <si>
    <t>Tipo</t>
  </si>
  <si>
    <t>Título / Elemento</t>
  </si>
  <si>
    <t>Objetivos</t>
  </si>
  <si>
    <t>Prioridad</t>
  </si>
  <si>
    <t>Esfuerzo estimado (h)</t>
  </si>
  <si>
    <t>Esfuerzo real (h)</t>
  </si>
  <si>
    <t>Criterios de aceptación / entregables</t>
  </si>
  <si>
    <t>Estado</t>
  </si>
  <si>
    <t>Etapa 2</t>
  </si>
  <si>
    <t>Diseño técnico, arquitectura, protocolo e implementación inicial</t>
  </si>
  <si>
    <t>EP-01</t>
  </si>
  <si>
    <t>Épica</t>
  </si>
  <si>
    <t>Etapa 1: Definición, investigación y análisis de requerimientos</t>
  </si>
  <si>
    <t>OG, OE1, OE2, OE3, OE4</t>
  </si>
  <si>
    <t>Alta</t>
  </si>
  <si>
    <t>Etapa 3</t>
  </si>
  <si>
    <t>Implementación observabilidad, pruebas piloto y validación preliminar</t>
  </si>
  <si>
    <t>Problema, estado del arte, objetivos, requerimientos y alternativas definidos y respaldados.</t>
  </si>
  <si>
    <t>Realizado</t>
  </si>
  <si>
    <t>Etapa 4</t>
  </si>
  <si>
    <t>Campaña definitiva, análisis, informe final y defensa</t>
  </si>
  <si>
    <t>HU-01</t>
  </si>
  <si>
    <t>Historia</t>
  </si>
  <si>
    <t>Investigación bibliográfica y estado del arte</t>
  </si>
  <si>
    <t>OG, OE1, OE2, OE4</t>
  </si>
  <si>
    <t>Indicador</t>
  </si>
  <si>
    <t>Valor</t>
  </si>
  <si>
    <t>Conjunto de fuentes académicas y técnicas organizado en BibTeX y utilizado en el informe.</t>
  </si>
  <si>
    <t>Total de horas estimadas (tareas)</t>
  </si>
  <si>
    <t>Total de horas reales (tareas)</t>
  </si>
  <si>
    <t>T-01.1</t>
  </si>
  <si>
    <t>Tarea</t>
  </si>
  <si>
    <t>Investigar comparaciones de distribuciones ligeras de Kubernetes</t>
  </si>
  <si>
    <t>OE1, OE2</t>
  </si>
  <si>
    <t>Fichas bibliográficas sobre K3s, MicroK8s y métricas de CPU, memoria, throughput y latencia.</t>
  </si>
  <si>
    <t>T-01.2</t>
  </si>
  <si>
    <t>Investigar mecanismos HA y almacenamiento de estado (etcd vs Dqlite)</t>
  </si>
  <si>
    <t>Fichas sobre quórum, replicación, recuperación y diferencias arquitectónicas.</t>
  </si>
  <si>
    <t>T-01.3</t>
  </si>
  <si>
    <t>Investigar observabilidad energética y niveles de medición</t>
  </si>
  <si>
    <t>OE2</t>
  </si>
  <si>
    <t>Antecedentes sobre Scaphandre, RAPL/powercap, Kepler y limitaciones de atribución energética.</t>
  </si>
  <si>
    <t>T-01.4</t>
  </si>
  <si>
    <t>Investigar infraestructura IaaS y limitaciones de comparación energética</t>
  </si>
  <si>
    <t>OE4</t>
  </si>
  <si>
    <t>Baja</t>
  </si>
  <si>
    <t>Fuentes NIST y/o literatura que delimiten la comparación local frente a nube pública.</t>
  </si>
  <si>
    <t>HU-02</t>
  </si>
  <si>
    <t>Redacción de problema, partes interesadas y brechas</t>
  </si>
  <si>
    <t>OG</t>
  </si>
  <si>
    <t>Sección de introducción con problema, relevancia, stakeholders y brechas claramente articuladas.</t>
  </si>
  <si>
    <t>T-02.1</t>
  </si>
  <si>
    <t>Redacción: Introducción y definición del problema</t>
  </si>
  <si>
    <t>Problema formulado y justificado mediante literatura pertinente.</t>
  </si>
  <si>
    <t>T-02.2</t>
  </si>
  <si>
    <t>Redacción: percepción de las partes interesadas basada en literatura</t>
  </si>
  <si>
    <t>Necesidades de administradores, sostenibilidad/SRE e investigación explicitadas sin presentarlas como entrevistas.</t>
  </si>
  <si>
    <t>T-02.3</t>
  </si>
  <si>
    <t>Redacción: brechas de investigación y pregunta de investigación</t>
  </si>
  <si>
    <t>OG, OE2, OE3, OE4</t>
  </si>
  <si>
    <t>Cuatro brechas y pregunta de investigación coherentes con el alcance.</t>
  </si>
  <si>
    <t>HU-03</t>
  </si>
  <si>
    <t>Definición de objetivos y trazabilidad</t>
  </si>
  <si>
    <t>Objetivo general, objetivos específicos, criterios SMART y trazabilidad alineados.</t>
  </si>
  <si>
    <t>T-03.1</t>
  </si>
  <si>
    <t>Redacción y revisión del objetivo general y objetivos específicos</t>
  </si>
  <si>
    <t>Objetivos formulados con verbos verificables y alcance delimitado.</t>
  </si>
  <si>
    <t>T-03.2</t>
  </si>
  <si>
    <t>Redacción de criterios SMART</t>
  </si>
  <si>
    <t>Criterios Specific, Measurable, Achievable, Relevant y Time-bound documentados.</t>
  </si>
  <si>
    <t>T-03.3</t>
  </si>
  <si>
    <t>Construcción y revisión de matriz de trazabilidad</t>
  </si>
  <si>
    <t>Cada brecha vinculada con objetivos e indicadores de cumplimiento.</t>
  </si>
  <si>
    <t>HU-04</t>
  </si>
  <si>
    <t>Análisis y justificación de requerimientos</t>
  </si>
  <si>
    <t>OE1, OE2, OE3, OE4</t>
  </si>
  <si>
    <t>Requerimientos funcionales, no funcionales y experimentales documentados y justificados.</t>
  </si>
  <si>
    <t>T-04.1</t>
  </si>
  <si>
    <t>Redacción de requerimientos de arquitectura, HA y VIP</t>
  </si>
  <si>
    <t>OE1</t>
  </si>
  <si>
    <t>RF-01 a RF-05 formulados con criterios de aceptación verificables.</t>
  </si>
  <si>
    <t>T-04.2</t>
  </si>
  <si>
    <t>Redacción de requerimientos de automatización y reproducibilidad</t>
  </si>
  <si>
    <t>RNF-01 a RNF-04 definidos para Terraform, Ansible, homogeneidad y versionado.</t>
  </si>
  <si>
    <t>T-04.3</t>
  </si>
  <si>
    <t>Redacción de requerimientos de observabilidad energética</t>
  </si>
  <si>
    <t>RE-01 a RE-04 definidos con nivel de medición explícito.</t>
  </si>
  <si>
    <t>T-04.4</t>
  </si>
  <si>
    <t>Redacción de requerimientos de observabilidad de recursos y rendimiento</t>
  </si>
  <si>
    <t>OE2, OE3</t>
  </si>
  <si>
    <t>RO-01 a RO-08 definidos para CPU, RAM, Prometheus, throughput, latencia, errores y sincronización.</t>
  </si>
  <si>
    <t>T-04.5</t>
  </si>
  <si>
    <t>Redacción de requerimientos de experimentación, resiliencia y nube pública</t>
  </si>
  <si>
    <t>OE2, OE3, OE4</t>
  </si>
  <si>
    <t>REX-01 a REX-07, RR-01 a RR-04 y RC-01 a RC-03 definidos.</t>
  </si>
  <si>
    <t>HU-05</t>
  </si>
  <si>
    <t>Evaluación crítica de alternativas técnicas</t>
  </si>
  <si>
    <t>Alternativas técnicas comparadas y decisión final justificada.</t>
  </si>
  <si>
    <t>T-05.1</t>
  </si>
  <si>
    <t>Comparar K3s/MicroK8s frente a Kubernetes estándar</t>
  </si>
  <si>
    <t>Media</t>
  </si>
  <si>
    <t>Alcance de dos distribuciones ligeras justificado.</t>
  </si>
  <si>
    <t>T-05.2</t>
  </si>
  <si>
    <t>Comparar Scaphandre frente a alternativas de observabilidad energética</t>
  </si>
  <si>
    <t>Selección de medición a nivel de host justificada, sin atribución innecesaria a contenedores.</t>
  </si>
  <si>
    <t>T-05.3</t>
  </si>
  <si>
    <t>Justificar Node Exporter y Prometheus para recursos</t>
  </si>
  <si>
    <t>Separación clara entre energía, utilización de recursos y almacenamiento temporal.</t>
  </si>
  <si>
    <t>T-05.4</t>
  </si>
  <si>
    <t>Justificar k6 para carga y métricas de rendimiento</t>
  </si>
  <si>
    <t>Selección de herramienta respaldada por sus métricas de solicitudes, duración y errores.</t>
  </si>
  <si>
    <t>T-05.5</t>
  </si>
  <si>
    <t>Justificar Keepalived/VRRP y Terraform/Ansible</t>
  </si>
  <si>
    <t>Decisiones de acceso redundante y automatización justificadas.</t>
  </si>
  <si>
    <t>EP-02</t>
  </si>
  <si>
    <t>Etapa 2: Diseño experimental y técnico</t>
  </si>
  <si>
    <t>OE1, OE2, OE3</t>
  </si>
  <si>
    <t>Diseño de arquitectura, instrumentación, protocolo, datos y documentación listos para implementar.</t>
  </si>
  <si>
    <t>HU-06</t>
  </si>
  <si>
    <t>Diseño de infraestructura virtualizada y red</t>
  </si>
  <si>
    <t>Diseño reproducible de 6 VMs, red, VIP y recursos homogéneos.</t>
  </si>
  <si>
    <t>T-06.1</t>
  </si>
  <si>
    <t>Diseñar topología QEMU/KVM para 6 VMs</t>
  </si>
  <si>
    <t>Diagrama con 3 nodos K3s y 3 nodos MicroK8s y recursos equivalentes.</t>
  </si>
  <si>
    <t>T-06.2</t>
  </si>
  <si>
    <t>Definir CPU, RAM, almacenamiento y sistema operativo homogéneos</t>
  </si>
  <si>
    <t>Especificaciones técnicas registradas como referencia experimental.</t>
  </si>
  <si>
    <t>T-06.3</t>
  </si>
  <si>
    <t>Diseñar direccionamiento, redes y VIP</t>
  </si>
  <si>
    <t>Plan de direccionamiento documentado con IPs de nodos y VIP.</t>
  </si>
  <si>
    <t>T-06.4</t>
  </si>
  <si>
    <t>Actualizar justificación del mecanismo VIP: de Keepalived/VRRP a kube-vip</t>
  </si>
  <si>
    <t>informe actualizado con la justificación de kube-vip.</t>
  </si>
  <si>
    <t>HU-07</t>
  </si>
  <si>
    <t>Diseño de la arquitectura de observabilidad</t>
  </si>
  <si>
    <t>Fuentes, flujo de datos y responsabilidades de cada herramienta definidos.</t>
  </si>
  <si>
    <t>T-07.1</t>
  </si>
  <si>
    <t>Diseñar medición energética con Scaphandre + RAPL/powercap</t>
  </si>
  <si>
    <t>Fuente energética, dominio y ventana de medición definidos.</t>
  </si>
  <si>
    <t>T-07.2</t>
  </si>
  <si>
    <t>Diseñar recolección de CPU y RAM con Node Exporter</t>
  </si>
  <si>
    <t>Métricas y frecuencia de consulta seleccionadas.</t>
  </si>
  <si>
    <t>T-07.3</t>
  </si>
  <si>
    <t>Diseñar almacenamiento y consultas en Prometheus</t>
  </si>
  <si>
    <t>Métricas, etiquetas y retención necesarias definidas.</t>
  </si>
  <si>
    <t>T-07.4</t>
  </si>
  <si>
    <t>Diseñar instrumentación de rendimiento con k6</t>
  </si>
  <si>
    <t>Métricas de throughput, latencia, errores y resultados definidas.</t>
  </si>
  <si>
    <t>T-07.5</t>
  </si>
  <si>
    <t>Diseñar observación de resiliencia y sincronización temporal</t>
  </si>
  <si>
    <t>Eventos, logs, marcas temporales y criterios de inicio/recuperación definidos.</t>
  </si>
  <si>
    <t>HU-08</t>
  </si>
  <si>
    <t>Diseño del protocolo experimental</t>
  </si>
  <si>
    <t>Matriz de escenarios, repeticiones, ventanas y criterios de calidad aprobada.</t>
  </si>
  <si>
    <t>T-08.1</t>
  </si>
  <si>
    <t>Definir escenarios de carga: idle, media y alta</t>
  </si>
  <si>
    <t>Carga, duración, VUs y criterio de estabilización documentados.</t>
  </si>
  <si>
    <t>T-08.2</t>
  </si>
  <si>
    <t>Definir número de repeticiones y aleatorización/secuencia</t>
  </si>
  <si>
    <t>OE3</t>
  </si>
  <si>
    <t>Plan de réplicas y orden de ejecución definido para reducir sesgos.</t>
  </si>
  <si>
    <t>T-08.3</t>
  </si>
  <si>
    <t>Definir ventanas de medición y sincronización de datos</t>
  </si>
  <si>
    <t>Reglas para alinear Scaphandre, Prometheus y k6 documentadas.</t>
  </si>
  <si>
    <t>T-08.4</t>
  </si>
  <si>
    <t>Definir protocolo de fallo controlado de un nodo</t>
  </si>
  <si>
    <t>Procedimiento seguro con criterios de inicio, detección, recuperación e impacto.</t>
  </si>
  <si>
    <t>T-08.5</t>
  </si>
  <si>
    <t>Definir plan estadístico preliminar</t>
  </si>
  <si>
    <t>Medidas descriptivas, supuestos y criterios para seleccionar pruebas.</t>
  </si>
  <si>
    <t>HU-09</t>
  </si>
  <si>
    <t>Diseño de documentación y repositorio</t>
  </si>
  <si>
    <t>Diagramas, estructura del repositorio y registro de decisiones definidos.</t>
  </si>
  <si>
    <t>T-09.1</t>
  </si>
  <si>
    <t>Diseñar diagrama de arquitectura general</t>
  </si>
  <si>
    <t>Diagrama de infraestructura, clústeres, observabilidad y carga.</t>
  </si>
  <si>
    <t>T-09.2</t>
  </si>
  <si>
    <t>Definir estructura del repositorio Git</t>
  </si>
  <si>
    <t>Carpetas para Terraform, Ansible, Kubernetes, k6, datos y análisis.</t>
  </si>
  <si>
    <t>T-09.3</t>
  </si>
  <si>
    <t>Documentar decisiones técnicas y criterios de aceptación</t>
  </si>
  <si>
    <t>OG, OE1, OE2</t>
  </si>
  <si>
    <t>Registro inicial de decisiones con justificación y relación con requisitos.</t>
  </si>
  <si>
    <t>EP-03</t>
  </si>
  <si>
    <t>Etapa 2: Diseño e incorporación de retroalimentación</t>
  </si>
  <si>
    <t>OG, OE1, OE2, OE3</t>
  </si>
  <si>
    <t>Retroalimentación de Etapa 1 incorporada y diseño preparado para implementación.</t>
  </si>
  <si>
    <t>HU-10</t>
  </si>
  <si>
    <t>Aplicación de retroalimentación del profesor guía</t>
  </si>
  <si>
    <t>Cambios trazables en objetivos, requisitos, diseño y backlog.</t>
  </si>
  <si>
    <t>T-10.1</t>
  </si>
  <si>
    <t>Revisar observaciones recibidas en Etapa 1</t>
  </si>
  <si>
    <t>Lista de observaciones y acciones de respuesta documentada.</t>
  </si>
  <si>
    <t>T-10.2</t>
  </si>
  <si>
    <t>Actualizar informe, requerimientos y backlog según retroalimentación</t>
  </si>
  <si>
    <t>Cambios incorporados y registrados en Git.</t>
  </si>
  <si>
    <t>EP-04</t>
  </si>
  <si>
    <t>Etapa 2: Implementación de infraestructura y Alta Disponibilidad</t>
  </si>
  <si>
    <t>Infraestructura virtualizada y ambos clústeres HA implementados y operativos.</t>
  </si>
  <si>
    <t>HU-11</t>
  </si>
  <si>
    <t>Automatización de infraestructura con Terraform</t>
  </si>
  <si>
    <t>Seis VMs reproducibles con red y recursos homogéneos.</t>
  </si>
  <si>
    <t>T-11.1</t>
  </si>
  <si>
    <t>Configurar provider de Terraform para QEMU/KVM (libvirt)</t>
  </si>
  <si>
    <t>Terraform conecta y administra correctamente el proveedor.</t>
  </si>
  <si>
    <t>T-11.2</t>
  </si>
  <si>
    <t>Crear redes virtuales y direccionamiento de nodos</t>
  </si>
  <si>
    <t>Redes operativas y direcciones reservadas para nodos y VIP.</t>
  </si>
  <si>
    <t>T-11.3</t>
  </si>
  <si>
    <t>Provisionar 3 VMs para K3s y 3 VMs para MicroK8s</t>
  </si>
  <si>
    <t>Seis VMs operativas con especificaciones equivalentes.</t>
  </si>
  <si>
    <t>T-11.4</t>
  </si>
  <si>
    <t>Generar/registrar inventario para Ansible</t>
  </si>
  <si>
    <t>Inventario reproducible con grupos K3s y MicroK8s.</t>
  </si>
  <si>
    <t>T-11.5</t>
  </si>
  <si>
    <t>Implementar afinidad de CPU (pinning) de las VMs mediante XSLT sobre el XML de libvirt</t>
  </si>
  <si>
    <t>cada VM fijada a un núcleo físico completo y un núcleo reservado al host, sin cambiar la cantidad de vCPU.</t>
  </si>
  <si>
    <t>HU-12</t>
  </si>
  <si>
    <t>Configuración base de nodos con Ansible</t>
  </si>
  <si>
    <t>Seis nodos estandarizados y listos para instalar Kubernetes.</t>
  </si>
  <si>
    <t>T-12.1</t>
  </si>
  <si>
    <t>Configurar hostname, SSH, paquetes base y sincronización</t>
  </si>
  <si>
    <t>Todos los nodos accesibles y con configuración base uniforme.</t>
  </si>
  <si>
    <t>T-12.2</t>
  </si>
  <si>
    <t>Configurar Swap/cgroups y parámetros necesarios del SO</t>
  </si>
  <si>
    <t>Configuración validada en las seis VMs.</t>
  </si>
  <si>
    <t>T-12.3</t>
  </si>
  <si>
    <t>Configurar conectividad y reglas de red inter-nodo</t>
  </si>
  <si>
    <t>Comunicación necesaria para los planos de control habilitada.</t>
  </si>
  <si>
    <t>T-12.4</t>
  </si>
  <si>
    <t>Eliminar fuentes de ruido y latencia en los nodos (motd-news, apt-news, ua-timer)</t>
  </si>
  <si>
    <t>motd-news, apt-news y ua-timer deshabilitados en cloud-init.</t>
  </si>
  <si>
    <t>HU-13</t>
  </si>
  <si>
    <t>Implementación de K3s en Alta Disponibilidad</t>
  </si>
  <si>
    <t>Clúster K3s de tres servidores con etcd operativo.</t>
  </si>
  <si>
    <t>T-13.1</t>
  </si>
  <si>
    <t>Instalar e inicializar primer servidor K3s con etcd embebido</t>
  </si>
  <si>
    <t>Primer nodo operativo y datos de acceso disponibles.</t>
  </si>
  <si>
    <t>T-13.2</t>
  </si>
  <si>
    <t>Unir los dos servidores restantes al clúster</t>
  </si>
  <si>
    <t>Tres servidores en estado Ready.</t>
  </si>
  <si>
    <t>T-13.3</t>
  </si>
  <si>
    <t>Validar salud, quórum y funcionamiento del clúster</t>
  </si>
  <si>
    <t>Comandos de validación muestran clúster estable.</t>
  </si>
  <si>
    <t>T-13.4</t>
  </si>
  <si>
    <t>Ajustar instalación de K3s para kube-vip (quitar --bind-address; --disable traefik --disable servicelb)</t>
  </si>
  <si>
    <t>K3s instalado sin --bind-address y con --disable traefik --disable servicelb, y API accesible por la VIP.</t>
  </si>
  <si>
    <t>HU-14</t>
  </si>
  <si>
    <t>Implementación de MicroK8s en Alta Disponibilidad</t>
  </si>
  <si>
    <t>Clúster MicroK8s de tres nodos con Dqlite operativo.</t>
  </si>
  <si>
    <t>T-14.1</t>
  </si>
  <si>
    <t>Instalar MicroK8s en los tres nodos</t>
  </si>
  <si>
    <t>Tres instalaciones uniformes y accesibles.</t>
  </si>
  <si>
    <t>T-14.2</t>
  </si>
  <si>
    <t>Unir los nodos y habilitar/verificar HA</t>
  </si>
  <si>
    <t>Tres nodos unidos y HA operativa.</t>
  </si>
  <si>
    <t>T-14.2.1</t>
  </si>
  <si>
    <t>Diagnosticar y resolver apiserver-kicker (regeneración de certificados por IP de kube-vip)</t>
  </si>
  <si>
    <t>Causa raíz identificada y corregida; documentada como hallazgo de complejidad operativa de MicroK8s frente a K3s.</t>
  </si>
  <si>
    <t>T-14.2.2</t>
  </si>
  <si>
    <t>Diagnosticar y resolver ausencia de entrada propia en /etc/hosts (timeout DNS en llamadas sudo)</t>
  </si>
  <si>
    <t>T-14.2.3</t>
  </si>
  <si>
    <t>Diagnosticar y resolver certificado de servidor mal firmado post-join</t>
  </si>
  <si>
    <t>T-14.2.4</t>
  </si>
  <si>
    <t>Diagnosticar y resolver joins concurrentes de Dqlite (condición de carrera)</t>
  </si>
  <si>
    <t>T-14.2.5</t>
  </si>
  <si>
    <t>Ajustar timeouts de arranque en frío de MicroK8s y completar la unión de los 3 nodos</t>
  </si>
  <si>
    <t>T-14.3</t>
  </si>
  <si>
    <t>Validar estado de Dqlite, quórum y servicios</t>
  </si>
  <si>
    <t>Clúster estable y comandos de validación documentados.</t>
  </si>
  <si>
    <t>HU-15</t>
  </si>
  <si>
    <t>Implementación de acceso redundante mediante kube-vip</t>
  </si>
  <si>
    <t>VIP operativa y con migración ante fallo controlado.</t>
  </si>
  <si>
    <t>T-15.1</t>
  </si>
  <si>
    <t>Instalar y configurar kube-vip en los nodos del plano de control</t>
  </si>
  <si>
    <t>VIP disponible y configuración reproducible.</t>
  </si>
  <si>
    <t>T-15.2</t>
  </si>
  <si>
    <t>Validar migración de VIP ante indisponibilidad de un nodo</t>
  </si>
  <si>
    <t>VIP cambia al nodo de respaldo sin pérdida prolongada del acceso.</t>
  </si>
  <si>
    <t>T-15.3</t>
  </si>
  <si>
    <t>Retirar los roles Keepalived y HAProxy de ambas distribuciones</t>
  </si>
  <si>
    <t>Roles keepalived y haproxy eliminados sin referencias residuales.</t>
  </si>
  <si>
    <t>EP-05</t>
  </si>
  <si>
    <t>Etapa 3: Implementación de observabilidad y aplicación</t>
  </si>
  <si>
    <t>Stack de observabilidad operativo y aplicación de referencia preparada.</t>
  </si>
  <si>
    <t>HU-16</t>
  </si>
  <si>
    <t>Implementación de medición energética</t>
  </si>
  <si>
    <t>Scaphandre registra energía y potencia del host durante pruebas.</t>
  </si>
  <si>
    <t>T-16.1</t>
  </si>
  <si>
    <t>Instalar y configurar Scaphandre en el host físico</t>
  </si>
  <si>
    <t>Scaphandre ejecuta y expone métricas energéticas. Fuente: evidencia_T-16.md.</t>
  </si>
  <si>
    <t>T-16.2</t>
  </si>
  <si>
    <t>Verificar disponibilidad de RAPL/powercap y dominios</t>
  </si>
  <si>
    <t>Contadores accesibles y dominio energético documentado. Fuente: evidencia_T-16.md.</t>
  </si>
  <si>
    <t>T-16.3</t>
  </si>
  <si>
    <t>Configurar captura de energía y potencia durante una prueba</t>
  </si>
  <si>
    <t>Datos de energía/potencia registrados para una ventana experimental, con lectura directa del contador en t_inicio y t_fin además de la consulta a Prometheus.</t>
  </si>
  <si>
    <t>T-16.4</t>
  </si>
  <si>
    <t>Validar Scaphandre contra lectura directa de los contadores</t>
  </si>
  <si>
    <t>Consistencia comprobada durante una ventana común. Criterio: diferencia &lt; 2 % entre Scaphandre y el contador crudo.</t>
  </si>
  <si>
    <t>HU-17</t>
  </si>
  <si>
    <t>Implementación de monitoreo de recursos y almacenamiento temporal</t>
  </si>
  <si>
    <t>CPU y RAM disponibles en Prometheus para ambos entornos.</t>
  </si>
  <si>
    <t>T-17.1</t>
  </si>
  <si>
    <t>Instalar Node Exporter en los nodos</t>
  </si>
  <si>
    <t>Métricas de CPU y memoria expuestas en todos los nodos.</t>
  </si>
  <si>
    <t>T-17.2</t>
  </si>
  <si>
    <t>Instalar/configurar Prometheus</t>
  </si>
  <si>
    <t>Prometheus recolecta correctamente Node Exporter.</t>
  </si>
  <si>
    <t>T-17.3</t>
  </si>
  <si>
    <t>Configurar etiquetas y separación de clúster/escenario</t>
  </si>
  <si>
    <t>Series distinguibles por distribución, nodo y ejecución.</t>
  </si>
  <si>
    <t>T-17.4</t>
  </si>
  <si>
    <t>Validar continuidad y frecuencia de recolección</t>
  </si>
  <si>
    <t>No existen interrupciones relevantes durante una prueba piloto.</t>
  </si>
  <si>
    <t>T-17.5</t>
  </si>
  <si>
    <t>Instalar kube-state-metrics y definir cómo Prometheus lo scrapea desde el host</t>
  </si>
  <si>
    <t>kube-state-metrics operativo en ambos clústeres, scrapeado por Prometheus, con kube_node_status_condition disponible.</t>
  </si>
  <si>
    <t>HU-18</t>
  </si>
  <si>
    <t>Implementación de aplicación de referencia y pruebas de carga</t>
  </si>
  <si>
    <t>Aplicación idéntica desplegada y accesible mediante el mecanismo definido.</t>
  </si>
  <si>
    <t>T-18.1</t>
  </si>
  <si>
    <t>Desplegar aplicación de referencia en K3s y MicroK8s</t>
  </si>
  <si>
    <t>Aplicación responde correctamente en ambos clústeres.</t>
  </si>
  <si>
    <t>T-18.2</t>
  </si>
  <si>
    <t>Configurar acceso a la aplicación y endpoints de prueba</t>
  </si>
  <si>
    <t>Endpoints equivalentes y comprobados.</t>
  </si>
  <si>
    <t>T-18.3</t>
  </si>
  <si>
    <t>Desarrollar scripts k6 para escenarios de carga</t>
  </si>
  <si>
    <t>Scripts parametrizados para idle, carga media y carga alta.</t>
  </si>
  <si>
    <t>T-18.4</t>
  </si>
  <si>
    <t>Configurar exportación y organización de resultados k6</t>
  </si>
  <si>
    <t>Resultados guardados por escenario y repetición.</t>
  </si>
  <si>
    <t>T-18.5</t>
  </si>
  <si>
    <t>Habilitar Service LoadBalancer con kube-vip (192.168.100.150) en ambas distribuciones</t>
  </si>
  <si>
    <t>Service de la aplicación de referencia con IP .150 accesible desde el host en K3s y MicroK8s.</t>
  </si>
  <si>
    <t>HU-19</t>
  </si>
  <si>
    <t>Implementación de pruebas de resiliencia</t>
  </si>
  <si>
    <t>Fallo controlado y recuperación medibles sin pérdida intencional de quórum.</t>
  </si>
  <si>
    <t>T-19.1</t>
  </si>
  <si>
    <t>Implementar procedimiento/script de fallo controlado de un nodo</t>
  </si>
  <si>
    <t>Fallo reproducible sobre un único nodo.</t>
  </si>
  <si>
    <t>T-19.2</t>
  </si>
  <si>
    <t>Registrar inicio, detección y recuperación del fallo</t>
  </si>
  <si>
    <t>Marcas temporales suficientes para calcular tiempos.</t>
  </si>
  <si>
    <t>T-19.3</t>
  </si>
  <si>
    <t>Integrar solicitudes afectadas con resultados k6</t>
  </si>
  <si>
    <t>Cantidad de solicitudes afectadas asociada al intervalo de fallo. Si la tasa de carga es provisional (T-20.5 pendiente), las corridas se marcan como verificación y no como piloto.</t>
  </si>
  <si>
    <t>T-19.4</t>
  </si>
  <si>
    <t>Fijar ubicación del pod de NGINX durante el fallo y verificar parámetros de detección y tolerancia</t>
  </si>
  <si>
    <t>Regla de ubicación implementada: al inyectar el fallo el pod no está en el nodo titular de la VIP (se mueve si coincide); valores efectivos de detección y tolerancia registrados por distribución y diferencias documentadas.</t>
  </si>
  <si>
    <t>T-19.5</t>
  </si>
  <si>
    <t>Revalidar la migración de la VIP con kube-vip v1.2.4</t>
  </si>
  <si>
    <t>Migración de la VIP revalidada con kube-vip v1.2.4 en K3s y MicroK8s; titular de la VIP registrado en cada corrida, sin control del arranque.</t>
  </si>
  <si>
    <t>HU-32</t>
  </si>
  <si>
    <t>Orquestación de ejecuciones experimentales</t>
  </si>
  <si>
    <t>Cada ejecución queda registrada con distribución, escenario, repetición y ventana temporal, y deja datos aptos para el análisis.</t>
  </si>
  <si>
    <t>T-32.1</t>
  </si>
  <si>
    <t>Implementar orquestador de ejecuciones con metadatos de ventana y ubicación</t>
  </si>
  <si>
    <t>Script versionado que ejecuta una repetición completa y guarda metadatos, resultados de k6 y snapshot de Prometheus.</t>
  </si>
  <si>
    <t>HU-34</t>
  </si>
  <si>
    <t>Sincronización temporal con chrony entre el host y las VMs</t>
  </si>
  <si>
    <t>Relojes del host y de las VMs sincronizados con chrony (host como fuente local), verificables en K3s y MicroK8s, como base de la alineación por marcas de tiempo (RO-07).</t>
  </si>
  <si>
    <t>T-34.1</t>
  </si>
  <si>
    <t>Implementar rol Ansible de chrony en el host (servidor NTP para 192.168.100.0/24)</t>
  </si>
  <si>
    <t>chrony activo en el host y sirviendo a 192.168.100.0/24; rol idempotente (segunda corrida sin cambios).</t>
  </si>
  <si>
    <t>T-34.2</t>
  </si>
  <si>
    <t>Implementar rol Ansible de chrony en las VMs (cliente de 192.168.100.1 únicamente)</t>
  </si>
  <si>
    <t>chrony activo en las VMs de K3s y MicroK8s con 192.168.100.1 como única fuente; rol idempotente y aplicable tras cada reconstrucción de las VMs.</t>
  </si>
  <si>
    <t>T-34.3</t>
  </si>
  <si>
    <t>Verificar sincronización con chronyc tracking y chronyc sources en K3s y MicroK8s</t>
  </si>
  <si>
    <t>Salidas de chronyc tracking y chronyc sources registradas en el host y en las VMs de ambos clústeres, con desfase y fuente documentados.</t>
  </si>
  <si>
    <t>EP-06</t>
  </si>
  <si>
    <t>Etapa 3: Pruebas iniciales, mejoras y validación preliminar</t>
  </si>
  <si>
    <t>Pruebas piloto ejecutadas, problemas corregidos y validación preliminar documentada.</t>
  </si>
  <si>
    <t>En progreso</t>
  </si>
  <si>
    <t>HU-20</t>
  </si>
  <si>
    <t>Ejecución de pruebas piloto</t>
  </si>
  <si>
    <t>Datos piloto completos y útiles para detectar problemas de instrumentación.</t>
  </si>
  <si>
    <t>T-20.1</t>
  </si>
  <si>
    <t>Ejecutar escenario idle en K3s y MicroK8s</t>
  </si>
  <si>
    <t>Una ejecución completa por distribución con datos de todas las fuentes.</t>
  </si>
  <si>
    <t>T-20.2</t>
  </si>
  <si>
    <t>Ejecutar escenarios de carga media y alta</t>
  </si>
  <si>
    <t>Pruebas piloto realizadas y resultados preliminares disponibles.</t>
  </si>
  <si>
    <t>T-20.3</t>
  </si>
  <si>
    <t>Verificar sincronización entre Scaphandre, Prometheus y k6</t>
  </si>
  <si>
    <t>Ventanas temporales coincidentes y trazables.</t>
  </si>
  <si>
    <t>T-20.4</t>
  </si>
  <si>
    <t>Detectar y corregir anomalías de recolección</t>
  </si>
  <si>
    <t>Problemas de datos documentados y corregidos. Datos del piloto 1 congelados con un tag de git antes de aplicar las mejoras de HU-21.</t>
  </si>
  <si>
    <t>T-20.5</t>
  </si>
  <si>
    <t>Calibrar tasa de saturación y límite de CPU de NGINX, y decidir si hace falta un costo computacional determinístico</t>
  </si>
  <si>
    <t>Tasas de carga media y alta fijadas con datos de Node Exporter, límite de CPU de NGINX confirmado y contingencia de costo computacional determinístico (SHA-256) aplicada y documentada.</t>
  </si>
  <si>
    <t>T-20.6</t>
  </si>
  <si>
    <t>Medir tiempo de despliegue (terraform destroy/apply) por distribución, sin carga</t>
  </si>
  <si>
    <t>Mediciones puntuales de tiempo de construcción y destrucción por distribución, sin carga de k6. Los ciclos provienen de reconstrucciones de pilotos y calibraciones, no de ciclos dedicados de destroy/apply (desviación declarada).</t>
  </si>
  <si>
    <t>T-20.7</t>
  </si>
  <si>
    <t>Caracterizar reposo del host y fijar política de servicios</t>
  </si>
  <si>
    <t>Reposo del host caracterizado sin sesión gráfica, en un único estado de medición (3 sesiones de 3 ventanas de 180 s); política de servicios definida como lista blanca de unidades permitidas, versionada en Ansible y verificada por el orquestador antes de cada corrida; política de fuentes externas de chrony y criterio de reloj convergido definidos; tratamiento de ufw y política de datos documentados; todo antes de T-20.1.</t>
  </si>
  <si>
    <t>HU-21</t>
  </si>
  <si>
    <t>Mejoras y optimización del entorno experimental</t>
  </si>
  <si>
    <t>Configuración refinada sin alterar la equivalencia entre plataformas.</t>
  </si>
  <si>
    <t>T-21.1</t>
  </si>
  <si>
    <t>Ajustar frecuencia de muestreo y parámetros de recolección</t>
  </si>
  <si>
    <t>Frecuencia estable y suficiente para las ventanas experimentales.</t>
  </si>
  <si>
    <t>T-21.2</t>
  </si>
  <si>
    <t>Refinar etiquetas, nombres de archivos y estructura de datos</t>
  </si>
  <si>
    <t>Datos identificables y ordenados por distribución/escenario/repetición.</t>
  </si>
  <si>
    <t>T-21.3</t>
  </si>
  <si>
    <t>Repetir prueba piloto para verificar reproducibilidad</t>
  </si>
  <si>
    <t>Precisión dentro de una sesión (sd ≤ 0,03 W), no reproducible entre sesiones, hallazgo abierto que resuelve T-24.4.</t>
  </si>
  <si>
    <t>T-21.4</t>
  </si>
  <si>
    <t>Revisar tamaño muestral con la varianza del piloto (potencia estadística)</t>
  </si>
  <si>
    <t>8 bloques y 2 repeticiones por celda propuestos según la variabilidad observada en el piloto; potencia condicionada a σ_u (limitación declarada); fijación definitiva en el pre-registro (T-24.4).</t>
  </si>
  <si>
    <t>T-21.5</t>
  </si>
  <si>
    <t>Aislar CPU de servicios del host y de los hilos de QEMU</t>
  </si>
  <si>
    <t>Aislamiento de CPU aplicado y documentado, o descartado con justificación; efecto sobre la variabilidad registrado. Los hilos del emulador y de E/S de QEMU no están fijados hoy (solo los de vCPU): se evalúa como candidato del diagnóstico del desfase de ≈ 1 W.</t>
  </si>
  <si>
    <t>HU-22</t>
  </si>
  <si>
    <t>Validación preliminar integral</t>
  </si>
  <si>
    <t>Todos los componentes críticos validados antes de la campaña definitiva.</t>
  </si>
  <si>
    <t>Pendiente</t>
  </si>
  <si>
    <t>T-22.1</t>
  </si>
  <si>
    <t>Validar infraestructura y HA de ambos clústeres</t>
  </si>
  <si>
    <t>Se confirma estado operativo y recuperación básica.</t>
  </si>
  <si>
    <t>T-22.2</t>
  </si>
  <si>
    <t>Validar observabilidad de energía, recursos y rendimiento</t>
  </si>
  <si>
    <t>Las cuatro fuentes de datos generan registros utilizables.</t>
  </si>
  <si>
    <t>T-22.3</t>
  </si>
  <si>
    <t>Validar protocolo de fallo y recuperación</t>
  </si>
  <si>
    <t>Escenario de resiliencia ejecutable y medible.</t>
  </si>
  <si>
    <t>T-22.4</t>
  </si>
  <si>
    <t>Validar reserva de recursos del host (memoria y swap) con el stack completo, por distribución</t>
  </si>
  <si>
    <t>Memoria y swap del host monitoreados con el stack completo en carga alta, de forma independiente para K3s y MicroK8s; asignación por nodo confirmada o ajustada.</t>
  </si>
  <si>
    <t>HU-23</t>
  </si>
  <si>
    <t>Documentación de implementación y cambios</t>
  </si>
  <si>
    <t>Implementación, decisiones, resultados preliminares y cambios registrados.</t>
  </si>
  <si>
    <t>T-23.1</t>
  </si>
  <si>
    <t>Redacción: infraestructura Terraform/QEMU-KVM</t>
  </si>
  <si>
    <t>Capítulo de implementación de infraestructura documentado.</t>
  </si>
  <si>
    <t>T-23.2</t>
  </si>
  <si>
    <t>Redacción: Ansible, HA y kube-vip</t>
  </si>
  <si>
    <t>Flujos de automatización y HA explicados.</t>
  </si>
  <si>
    <t>T-23.3</t>
  </si>
  <si>
    <t>Redacción: observabilidad, métricas y pipeline de datos</t>
  </si>
  <si>
    <t>Scaphandre, Node Exporter, Prometheus y k6 descritos sin redundancia. Se declara que no hay medición propia del costo de la sesión gráfica ni del ahorro por detener servicios: la decisión de medir sin sesión gráfica se apoya en la Etapa 2 y en reducir fuentes de ruido.</t>
  </si>
  <si>
    <t>T-23.4</t>
  </si>
  <si>
    <t>Registrar cambios, decisiones y commits en Git</t>
  </si>
  <si>
    <t>Repositorio actualizado y trazabilidad de cambios disponible.</t>
  </si>
  <si>
    <t>T-23.5</t>
  </si>
  <si>
    <t>Redacción: diferencias del sistema base entre distribuciones (CNI y componentes) y su efecto en la validez</t>
  </si>
  <si>
    <t>Tabla de componentes base de K3s y MicroK8s (CNI, almacenamiento y otros) con la diferencia de series de kube-state-metrics como evidencia, declarada como amenaza a la validez; conclusiones formuladas para cada distribución con su configuración por defecto.</t>
  </si>
  <si>
    <t>T-23.6</t>
  </si>
  <si>
    <t>Redacción: desviaciones del protocolo y límites de las pruebas de fallo</t>
  </si>
  <si>
    <t>Desviaciones respecto a la Etapa 2 documentadas (kube-vip, reinicio automático de systemd desactivado, --kill-whom=main), confusor del líder de kube-controller-manager y límites de alcance (pocas repeticiones, solo SIGKILL, tasa provisional) declarados.</t>
  </si>
  <si>
    <t>HU-33</t>
  </si>
  <si>
    <t>Encuesta de percepción sobre complejidad de instalación y administración</t>
  </si>
  <si>
    <t>Resultados de la encuesta tabulados y usados como evidencia complementaria a la literatura, con tamaño de muestra y limitaciones explicitados.</t>
  </si>
  <si>
    <t>T-33.1</t>
  </si>
  <si>
    <t>Aplicar encuesta de percepción</t>
  </si>
  <si>
    <t>Encuesta enviada y respuestas recopiladas.</t>
  </si>
  <si>
    <t>T-33.2</t>
  </si>
  <si>
    <t>Tabular y analizar resultados de la encuesta</t>
  </si>
  <si>
    <t>Resultados tabulados con tamaño de muestra y limitaciones explícitos.</t>
  </si>
  <si>
    <t>EP-07</t>
  </si>
  <si>
    <t>Etapa 4: Campaña experimental, análisis y validación final</t>
  </si>
  <si>
    <t>Campaña completa ejecutada, datos analizados y resultados validados.</t>
  </si>
  <si>
    <t>HU-24</t>
  </si>
  <si>
    <t>Ejecución definitiva de experimentos</t>
  </si>
  <si>
    <t>Todas las combinaciones planificadas ejecutadas con réplicas válidas.</t>
  </si>
  <si>
    <t>T-24.1</t>
  </si>
  <si>
    <t>Ejecutar campaña de carga en K3s</t>
  </si>
  <si>
    <t>Todos los escenarios y repeticiones válidas de K3s registrados dentro de los bloques contrabalanceados definidos en el pre-registro (plan-campana-v1).</t>
  </si>
  <si>
    <t>T-24.2</t>
  </si>
  <si>
    <t>Ejecutar campaña de carga en MicroK8s</t>
  </si>
  <si>
    <t>Todos los escenarios y repeticiones válidas de MicroK8s registrados dentro de los bloques contrabalanceados definidos en el pre-registro (plan-campana-v1).</t>
  </si>
  <si>
    <t>T-24.3</t>
  </si>
  <si>
    <t>Recolectar y consolidar Scaphandre, Prometheus y k6</t>
  </si>
  <si>
    <t>Datos sincronizados y organizados por ejecución.</t>
  </si>
  <si>
    <t>T-24.4</t>
  </si>
  <si>
    <t>Cerrar pendientes técnicos previos a la campaña</t>
  </si>
  <si>
    <t>Pilotos de energía repetidos con la aplicación definitiva (SHA-256, límite 2000m, tasas media 450 y alta 900 rps) en ambas distribuciones; K3s construido por el flujo completo de Ansible con la aplicación definitiva, sin ajustes manuales; orquestador registrando por ventana deltas de residencia de C-states, interrupciones, CPU por hilo de QEMU, KSM y halt polling; diagnóstico del desfase de ≈ 1 W (serie sin intervenir y ABAB sobre las covariables que se muevan, incluida la ubicación de los hilos de emulador y E/S de QEMU mediante emulatorpin), con límite de tiempo y causa identificada o declarada como no resuelta; desbordamiento del contador RAPL corregido en el análisis de Scaphandre; pre-registro fijado antes del primer bloque: etiqueta plan-campana-v1, número de bloques y repeticiones, secuencia con semilla, reglas de exclusión y plan de análisis (Wilcoxon exacto por bloque, t pareada complementaria, Hodges-Lehmann, Holm por familias, modelo mixto como sensibilidad).</t>
  </si>
  <si>
    <t>HU-25</t>
  </si>
  <si>
    <t>Ejecución definitiva de pruebas de resiliencia</t>
  </si>
  <si>
    <t>Pruebas de fallo controlado comparables entre distribuciones.</t>
  </si>
  <si>
    <t>T-25.1</t>
  </si>
  <si>
    <t>Ejecutar fallos controlados en K3s</t>
  </si>
  <si>
    <t>Detección, recuperación y solicitudes afectadas registradas.</t>
  </si>
  <si>
    <t>T-25.2</t>
  </si>
  <si>
    <t>Ejecutar fallos controlados en MicroK8s</t>
  </si>
  <si>
    <t>T-25.3</t>
  </si>
  <si>
    <t>Validar integridad y completitud de datos de resiliencia</t>
  </si>
  <si>
    <t>No existen ventanas críticas sin datos o eventos trazables.</t>
  </si>
  <si>
    <t>HU-26</t>
  </si>
  <si>
    <t>Procesamiento y análisis estadístico</t>
  </si>
  <si>
    <t>Indicadores calculados y pruebas estadísticas justificadas.</t>
  </si>
  <si>
    <t>T-26.1</t>
  </si>
  <si>
    <t>Limpiar y consolidar datasets con Python</t>
  </si>
  <si>
    <t>Dataset final con anomalías documentadas y reglas de limpieza reproducibles.</t>
  </si>
  <si>
    <t>T-26.2</t>
  </si>
  <si>
    <t>Calcular energía, potencia y energía por solicitud</t>
  </si>
  <si>
    <t>Indicadores energéticos calculados para cada ejecución.</t>
  </si>
  <si>
    <t>T-26.3</t>
  </si>
  <si>
    <t>Calcular CPU, RAM, throughput, latencia y tasa de error</t>
  </si>
  <si>
    <t>Métricas de recursos y rendimiento consolidadas por escenario.</t>
  </si>
  <si>
    <t>T-26.4</t>
  </si>
  <si>
    <t>Seleccionar y ejecutar pruebas estadísticas apropiadas</t>
  </si>
  <si>
    <t>Pruebas pareadas por bloque definidas según el pre-registro (Wilcoxon exacto, t pareada como complemento, Holm por familias de métricas), con supuestos y nivel de significancia documentados.</t>
  </si>
  <si>
    <t>T-26.5</t>
  </si>
  <si>
    <t>Generar gráficos y tablas comparativas</t>
  </si>
  <si>
    <t>Visualizaciones de energía, recursos, rendimiento y resiliencia listas para el informe.</t>
  </si>
  <si>
    <t>HU-27</t>
  </si>
  <si>
    <t>Validación final y trazabilidad de requisitos</t>
  </si>
  <si>
    <t>Evidencia de cumplimiento de requisitos y objetivos.</t>
  </si>
  <si>
    <t>T-27.1</t>
  </si>
  <si>
    <t>Construir matriz de cumplimiento requisito-evidencia</t>
  </si>
  <si>
    <t>Cada requisito asociado a evidencia concreta.</t>
  </si>
  <si>
    <t>T-27.2</t>
  </si>
  <si>
    <t>Revisar reproducibilidad de la campaña final</t>
  </si>
  <si>
    <t>Procedimiento de reconstrucción y reejecución documentado.</t>
  </si>
  <si>
    <t>EP-08</t>
  </si>
  <si>
    <t>Etapa 4: Redacción final, conclusiones y defensa</t>
  </si>
  <si>
    <t>OG, OE3, OE4</t>
  </si>
  <si>
    <t>Informe final completo, conclusiones fundamentadas y material de defensa preparado.</t>
  </si>
  <si>
    <t>HU-28</t>
  </si>
  <si>
    <t>Análisis y discusión de resultados</t>
  </si>
  <si>
    <t>Resultados interpretados en relación con pregunta, objetivos y literatura.</t>
  </si>
  <si>
    <t>T-28.1</t>
  </si>
  <si>
    <t>Redacción: análisis de energía y eficiencia</t>
  </si>
  <si>
    <t>Interpretación de energía, potencia y J/solicitud por escenario.</t>
  </si>
  <si>
    <t>T-28.2</t>
  </si>
  <si>
    <t>Redacción: análisis de CPU, RAM y rendimiento</t>
  </si>
  <si>
    <t>Interpretación conjunta de recursos, throughput, latencia y errores.</t>
  </si>
  <si>
    <t>T-28.3</t>
  </si>
  <si>
    <t>Redacción: análisis de resiliencia y trade-offs</t>
  </si>
  <si>
    <t>Detección, recuperación, solicitudes afectadas y compromisos identificados.</t>
  </si>
  <si>
    <t>HU-29</t>
  </si>
  <si>
    <t>Contraste contextual con nube pública</t>
  </si>
  <si>
    <t>Evidencia externa contrastada sin equiparar directamente consumo físico.</t>
  </si>
  <si>
    <t>T-29.1</t>
  </si>
  <si>
    <t>Investigar evidencia comparable de IaaS</t>
  </si>
  <si>
    <t>Fuentes externas con plataforma, métrica y contexto identificados.</t>
  </si>
  <si>
    <t>T-29.2</t>
  </si>
  <si>
    <t>Redactar limitaciones y condiciones de comparabilidad</t>
  </si>
  <si>
    <t>Transferibilidad y límites metodológicos explícitos.</t>
  </si>
  <si>
    <t>HU-30</t>
  </si>
  <si>
    <t>Conclusiones, recomendaciones y trabajos futuros</t>
  </si>
  <si>
    <t>Cierre del proyecto alineado con objetivos y pregunta de investigación.</t>
  </si>
  <si>
    <t>T-30.1</t>
  </si>
  <si>
    <t>Redacción: conclusiones vinculadas con objetivos</t>
  </si>
  <si>
    <t>Cada objetivo específico respondido con evidencia experimental.</t>
  </si>
  <si>
    <t>T-30.2</t>
  </si>
  <si>
    <t>Redacción: recomendaciones y trabajos futuros</t>
  </si>
  <si>
    <t>OG, OE3</t>
  </si>
  <si>
    <t>Recomendaciones derivadas de resultados y limitaciones observadas.</t>
  </si>
  <si>
    <t>HU-31</t>
  </si>
  <si>
    <t>Revisión final del informe y material de defensa</t>
  </si>
  <si>
    <t>Entrega final revisada, compilable y con presentación lista.</t>
  </si>
  <si>
    <t>T-31.1</t>
  </si>
  <si>
    <t>Revisión de índices, tablas, figuras, referencias y formato LaTeX</t>
  </si>
  <si>
    <t>PDF final compilado correctamente y referencias verificadas.</t>
  </si>
  <si>
    <t>T-31.2</t>
  </si>
  <si>
    <t>Revisión de coherencia entre informe, backlog y resultados</t>
  </si>
  <si>
    <t>Trazabilidad final consistente.</t>
  </si>
  <si>
    <t>T-31.3</t>
  </si>
  <si>
    <t>Diseñar diapositivas de defensa</t>
  </si>
  <si>
    <t>Presentación con problema, diseño, implementación, métricas y resultados.</t>
  </si>
  <si>
    <t>T-31.4</t>
  </si>
  <si>
    <t>Ensayar presentación y preparar respuestas técnicas</t>
  </si>
  <si>
    <t>Defensa preparada y alineada con evidencia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</si>
</sst>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8">
    <font>
      <sz val="10.0"/>
      <color rgb="FF000000"/>
      <name val="Arial"/>
      <scheme val="minor"/>
    </font>
    <font>
      <b/>
      <sz val="10.0"/>
      <color rgb="FFFFFFFF"/>
      <name val="Arial"/>
    </font>
    <font>
      <b/>
      <color rgb="FFFFFFFF"/>
      <name val="Arial"/>
      <scheme val="minor"/>
    </font>
    <font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/>
    </xf>
    <xf borderId="1" fillId="0" fontId="4" numFmtId="49" xfId="0" applyAlignment="1" applyBorder="1" applyFont="1" applyNumberForma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0" fontId="6" numFmtId="1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0" fillId="0" fontId="7" numFmtId="0" xfId="0" applyFont="1"/>
    <xf borderId="1" fillId="0" fontId="4" numFmtId="1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1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6" numFmtId="1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/>
    </xf>
    <xf borderId="1" fillId="0" fontId="5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4A853"/>
        </left>
        <right style="thin">
          <color rgb="FF34A853"/>
        </right>
        <top style="thin">
          <color rgb="FF34A853"/>
        </top>
        <bottom style="thin">
          <color rgb="FF34A853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127333"/>
      </font>
      <fill>
        <patternFill patternType="solid">
          <fgColor rgb="FFB7E0CD"/>
          <bgColor rgb="FFB7E0CD"/>
        </patternFill>
      </fill>
      <border/>
    </dxf>
    <dxf>
      <font>
        <b/>
        <color rgb="FFAF5F00"/>
      </font>
      <fill>
        <patternFill patternType="solid">
          <fgColor rgb="FFFBE8B1"/>
          <bgColor rgb="FFFBE8B1"/>
        </patternFill>
      </fill>
      <border/>
    </dxf>
    <dxf>
      <font>
        <b/>
        <color rgb="FFA40E0E"/>
      </font>
      <fill>
        <patternFill patternType="solid">
          <fgColor rgb="FFF4C6C3"/>
          <bgColor rgb="FFF4C6C3"/>
        </patternFill>
      </fill>
      <border/>
    </dxf>
  </dxfs>
  <tableStyles count="1">
    <tableStyle count="4" pivot="0" name="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8" displayName="Backlog" name="Backlog" id="1">
  <tableColumns count="10">
    <tableColumn name="ID" id="1"/>
    <tableColumn name="Tipo" id="2"/>
    <tableColumn name="Título / Elemento" id="3"/>
    <tableColumn name="Objetivos" id="4"/>
    <tableColumn name="Prioridad" id="5"/>
    <tableColumn name="Esfuerzo estimado (h)" id="6"/>
    <tableColumn name="Esfuerzo real (h)" id="7"/>
    <tableColumn name="Criterios de aceptación / entregables" id="8"/>
    <tableColumn name="Estado" id="9"/>
    <tableColumn name="Etapa" id="10"/>
  </tableColumns>
  <tableStyleInfo name="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0"/>
    <col customWidth="1" min="3" max="3" width="149.38"/>
    <col customWidth="1" min="4" max="4" width="21.5"/>
    <col customWidth="1" min="5" max="5" width="12.88"/>
    <col customWidth="1" min="6" max="6" width="20.88"/>
    <col customWidth="1" min="7" max="7" width="17.38"/>
    <col customWidth="1" min="8" max="8" width="139.63"/>
  </cols>
  <sheetData>
    <row r="1" ht="30.0" customHeight="1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9" t="s">
        <v>15</v>
      </c>
      <c r="H1" s="7" t="s">
        <v>16</v>
      </c>
      <c r="I1" s="10" t="s">
        <v>17</v>
      </c>
      <c r="J1" s="10" t="s">
        <v>0</v>
      </c>
    </row>
    <row r="2" ht="22.5" customHeight="1">
      <c r="A2" s="11" t="s">
        <v>20</v>
      </c>
      <c r="B2" s="11" t="s">
        <v>21</v>
      </c>
      <c r="C2" s="11" t="s">
        <v>22</v>
      </c>
      <c r="D2" s="12" t="s">
        <v>23</v>
      </c>
      <c r="E2" s="13" t="s">
        <v>24</v>
      </c>
      <c r="F2" s="15">
        <f t="shared" ref="F2:G2" si="1">F3+F8+F12+F16+F22</f>
        <v>74</v>
      </c>
      <c r="G2" s="15">
        <f t="shared" si="1"/>
        <v>73</v>
      </c>
      <c r="H2" s="11" t="s">
        <v>27</v>
      </c>
      <c r="I2" s="13" t="s">
        <v>28</v>
      </c>
      <c r="J2" s="11" t="s">
        <v>7</v>
      </c>
    </row>
    <row r="3" ht="22.5" customHeight="1">
      <c r="A3" s="11" t="s">
        <v>31</v>
      </c>
      <c r="B3" s="11" t="s">
        <v>32</v>
      </c>
      <c r="C3" s="11" t="s">
        <v>33</v>
      </c>
      <c r="D3" s="12" t="s">
        <v>34</v>
      </c>
      <c r="E3" s="13" t="s">
        <v>24</v>
      </c>
      <c r="F3" s="15">
        <f t="shared" ref="F3:G3" si="2">SUM(F4:F7)</f>
        <v>19</v>
      </c>
      <c r="G3" s="15">
        <f t="shared" si="2"/>
        <v>20</v>
      </c>
      <c r="H3" s="11" t="s">
        <v>37</v>
      </c>
      <c r="I3" s="13" t="s">
        <v>28</v>
      </c>
      <c r="J3" s="11" t="s">
        <v>7</v>
      </c>
    </row>
    <row r="4" ht="22.5" customHeight="1">
      <c r="A4" s="20" t="s">
        <v>40</v>
      </c>
      <c r="B4" s="20" t="s">
        <v>41</v>
      </c>
      <c r="C4" s="20" t="s">
        <v>42</v>
      </c>
      <c r="D4" s="21" t="s">
        <v>43</v>
      </c>
      <c r="E4" s="22" t="s">
        <v>24</v>
      </c>
      <c r="F4" s="23">
        <v>6.0</v>
      </c>
      <c r="G4" s="23">
        <v>8.0</v>
      </c>
      <c r="H4" s="20" t="s">
        <v>44</v>
      </c>
      <c r="I4" s="22" t="s">
        <v>28</v>
      </c>
      <c r="J4" s="20" t="s">
        <v>7</v>
      </c>
    </row>
    <row r="5" ht="22.5" customHeight="1">
      <c r="A5" s="20" t="s">
        <v>45</v>
      </c>
      <c r="B5" s="20" t="s">
        <v>41</v>
      </c>
      <c r="C5" s="20" t="s">
        <v>46</v>
      </c>
      <c r="D5" s="21" t="s">
        <v>43</v>
      </c>
      <c r="E5" s="22" t="s">
        <v>24</v>
      </c>
      <c r="F5" s="23">
        <v>5.0</v>
      </c>
      <c r="G5" s="23">
        <v>5.0</v>
      </c>
      <c r="H5" s="20" t="s">
        <v>47</v>
      </c>
      <c r="I5" s="22" t="s">
        <v>28</v>
      </c>
      <c r="J5" s="20" t="s">
        <v>7</v>
      </c>
    </row>
    <row r="6" ht="22.5" customHeight="1">
      <c r="A6" s="20" t="s">
        <v>48</v>
      </c>
      <c r="B6" s="20" t="s">
        <v>41</v>
      </c>
      <c r="C6" s="20" t="s">
        <v>49</v>
      </c>
      <c r="D6" s="21" t="s">
        <v>50</v>
      </c>
      <c r="E6" s="22" t="s">
        <v>24</v>
      </c>
      <c r="F6" s="23">
        <v>5.0</v>
      </c>
      <c r="G6" s="23">
        <v>4.0</v>
      </c>
      <c r="H6" s="20" t="s">
        <v>51</v>
      </c>
      <c r="I6" s="22" t="s">
        <v>28</v>
      </c>
      <c r="J6" s="20" t="s">
        <v>7</v>
      </c>
    </row>
    <row r="7" ht="22.5" customHeight="1">
      <c r="A7" s="20" t="s">
        <v>52</v>
      </c>
      <c r="B7" s="20" t="s">
        <v>41</v>
      </c>
      <c r="C7" s="20" t="s">
        <v>53</v>
      </c>
      <c r="D7" s="21" t="s">
        <v>54</v>
      </c>
      <c r="E7" s="22" t="s">
        <v>55</v>
      </c>
      <c r="F7" s="23">
        <v>3.0</v>
      </c>
      <c r="G7" s="23">
        <v>3.0</v>
      </c>
      <c r="H7" s="20" t="s">
        <v>56</v>
      </c>
      <c r="I7" s="22" t="s">
        <v>28</v>
      </c>
      <c r="J7" s="20" t="s">
        <v>7</v>
      </c>
    </row>
    <row r="8" ht="22.5" customHeight="1">
      <c r="A8" s="11" t="s">
        <v>57</v>
      </c>
      <c r="B8" s="11" t="s">
        <v>32</v>
      </c>
      <c r="C8" s="11" t="s">
        <v>58</v>
      </c>
      <c r="D8" s="12" t="s">
        <v>59</v>
      </c>
      <c r="E8" s="13" t="s">
        <v>24</v>
      </c>
      <c r="F8" s="15">
        <f t="shared" ref="F8:G8" si="3">SUM(F9:F11)</f>
        <v>12</v>
      </c>
      <c r="G8" s="15">
        <f t="shared" si="3"/>
        <v>12</v>
      </c>
      <c r="H8" s="11" t="s">
        <v>60</v>
      </c>
      <c r="I8" s="13" t="s">
        <v>28</v>
      </c>
      <c r="J8" s="11" t="s">
        <v>7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ht="22.5" customHeight="1">
      <c r="A9" s="20" t="s">
        <v>61</v>
      </c>
      <c r="B9" s="20" t="s">
        <v>41</v>
      </c>
      <c r="C9" s="20" t="s">
        <v>62</v>
      </c>
      <c r="D9" s="21" t="s">
        <v>59</v>
      </c>
      <c r="E9" s="22" t="s">
        <v>24</v>
      </c>
      <c r="F9" s="23">
        <v>5.0</v>
      </c>
      <c r="G9" s="23">
        <v>5.0</v>
      </c>
      <c r="H9" s="20" t="s">
        <v>63</v>
      </c>
      <c r="I9" s="22" t="s">
        <v>28</v>
      </c>
      <c r="J9" s="20" t="s">
        <v>7</v>
      </c>
    </row>
    <row r="10" ht="22.5" customHeight="1">
      <c r="A10" s="20" t="s">
        <v>64</v>
      </c>
      <c r="B10" s="20" t="s">
        <v>41</v>
      </c>
      <c r="C10" s="20" t="s">
        <v>65</v>
      </c>
      <c r="D10" s="21" t="s">
        <v>59</v>
      </c>
      <c r="E10" s="22" t="s">
        <v>24</v>
      </c>
      <c r="F10" s="23">
        <v>3.0</v>
      </c>
      <c r="G10" s="23">
        <v>3.0</v>
      </c>
      <c r="H10" s="20" t="s">
        <v>66</v>
      </c>
      <c r="I10" s="22" t="s">
        <v>28</v>
      </c>
      <c r="J10" s="20" t="s">
        <v>7</v>
      </c>
    </row>
    <row r="11" ht="22.5" customHeight="1">
      <c r="A11" s="20" t="s">
        <v>67</v>
      </c>
      <c r="B11" s="20" t="s">
        <v>41</v>
      </c>
      <c r="C11" s="20" t="s">
        <v>68</v>
      </c>
      <c r="D11" s="21" t="s">
        <v>69</v>
      </c>
      <c r="E11" s="22" t="s">
        <v>24</v>
      </c>
      <c r="F11" s="23">
        <v>4.0</v>
      </c>
      <c r="G11" s="23">
        <v>4.0</v>
      </c>
      <c r="H11" s="20" t="s">
        <v>70</v>
      </c>
      <c r="I11" s="22" t="s">
        <v>28</v>
      </c>
      <c r="J11" s="20" t="s">
        <v>7</v>
      </c>
    </row>
    <row r="12" ht="22.5" customHeight="1">
      <c r="A12" s="11" t="s">
        <v>71</v>
      </c>
      <c r="B12" s="11" t="s">
        <v>32</v>
      </c>
      <c r="C12" s="11" t="s">
        <v>72</v>
      </c>
      <c r="D12" s="12" t="s">
        <v>23</v>
      </c>
      <c r="E12" s="13" t="s">
        <v>24</v>
      </c>
      <c r="F12" s="15">
        <f t="shared" ref="F12:G12" si="4">SUM(F13:F15)</f>
        <v>11</v>
      </c>
      <c r="G12" s="15">
        <f t="shared" si="4"/>
        <v>11</v>
      </c>
      <c r="H12" s="11" t="s">
        <v>73</v>
      </c>
      <c r="I12" s="13" t="s">
        <v>28</v>
      </c>
      <c r="J12" s="11" t="s">
        <v>7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22.5" customHeight="1">
      <c r="A13" s="20" t="s">
        <v>74</v>
      </c>
      <c r="B13" s="20" t="s">
        <v>41</v>
      </c>
      <c r="C13" s="20" t="s">
        <v>75</v>
      </c>
      <c r="D13" s="21" t="s">
        <v>23</v>
      </c>
      <c r="E13" s="22" t="s">
        <v>24</v>
      </c>
      <c r="F13" s="23">
        <v>4.0</v>
      </c>
      <c r="G13" s="23">
        <v>4.0</v>
      </c>
      <c r="H13" s="20" t="s">
        <v>76</v>
      </c>
      <c r="I13" s="22" t="s">
        <v>28</v>
      </c>
      <c r="J13" s="20" t="s">
        <v>7</v>
      </c>
    </row>
    <row r="14" ht="22.5" customHeight="1">
      <c r="A14" s="20" t="s">
        <v>77</v>
      </c>
      <c r="B14" s="20" t="s">
        <v>41</v>
      </c>
      <c r="C14" s="20" t="s">
        <v>78</v>
      </c>
      <c r="D14" s="21" t="s">
        <v>59</v>
      </c>
      <c r="E14" s="22" t="s">
        <v>24</v>
      </c>
      <c r="F14" s="23">
        <v>3.0</v>
      </c>
      <c r="G14" s="23">
        <v>3.0</v>
      </c>
      <c r="H14" s="20" t="s">
        <v>79</v>
      </c>
      <c r="I14" s="22" t="s">
        <v>28</v>
      </c>
      <c r="J14" s="20" t="s">
        <v>7</v>
      </c>
    </row>
    <row r="15" ht="22.5" customHeight="1">
      <c r="A15" s="20" t="s">
        <v>80</v>
      </c>
      <c r="B15" s="20" t="s">
        <v>41</v>
      </c>
      <c r="C15" s="20" t="s">
        <v>81</v>
      </c>
      <c r="D15" s="21" t="s">
        <v>23</v>
      </c>
      <c r="E15" s="22" t="s">
        <v>24</v>
      </c>
      <c r="F15" s="23">
        <v>4.0</v>
      </c>
      <c r="G15" s="23">
        <v>4.0</v>
      </c>
      <c r="H15" s="20" t="s">
        <v>82</v>
      </c>
      <c r="I15" s="22" t="s">
        <v>28</v>
      </c>
      <c r="J15" s="20" t="s">
        <v>7</v>
      </c>
    </row>
    <row r="16" ht="22.5" customHeight="1">
      <c r="A16" s="11" t="s">
        <v>83</v>
      </c>
      <c r="B16" s="11" t="s">
        <v>32</v>
      </c>
      <c r="C16" s="11" t="s">
        <v>84</v>
      </c>
      <c r="D16" s="12" t="s">
        <v>85</v>
      </c>
      <c r="E16" s="13" t="s">
        <v>24</v>
      </c>
      <c r="F16" s="15">
        <f t="shared" ref="F16:G16" si="5">SUM(F17:F21)</f>
        <v>17</v>
      </c>
      <c r="G16" s="15">
        <f t="shared" si="5"/>
        <v>15</v>
      </c>
      <c r="H16" s="11" t="s">
        <v>86</v>
      </c>
      <c r="I16" s="13" t="s">
        <v>28</v>
      </c>
      <c r="J16" s="11" t="s">
        <v>7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ht="22.5" customHeight="1">
      <c r="A17" s="20" t="s">
        <v>87</v>
      </c>
      <c r="B17" s="20" t="s">
        <v>41</v>
      </c>
      <c r="C17" s="20" t="s">
        <v>88</v>
      </c>
      <c r="D17" s="21" t="s">
        <v>89</v>
      </c>
      <c r="E17" s="22" t="s">
        <v>24</v>
      </c>
      <c r="F17" s="23">
        <v>3.0</v>
      </c>
      <c r="G17" s="23">
        <v>3.0</v>
      </c>
      <c r="H17" s="20" t="s">
        <v>90</v>
      </c>
      <c r="I17" s="22" t="s">
        <v>28</v>
      </c>
      <c r="J17" s="20" t="s">
        <v>7</v>
      </c>
    </row>
    <row r="18" ht="22.5" customHeight="1">
      <c r="A18" s="20" t="s">
        <v>91</v>
      </c>
      <c r="B18" s="20" t="s">
        <v>41</v>
      </c>
      <c r="C18" s="20" t="s">
        <v>92</v>
      </c>
      <c r="D18" s="21" t="s">
        <v>89</v>
      </c>
      <c r="E18" s="22" t="s">
        <v>24</v>
      </c>
      <c r="F18" s="23">
        <v>3.0</v>
      </c>
      <c r="G18" s="23">
        <v>3.0</v>
      </c>
      <c r="H18" s="20" t="s">
        <v>93</v>
      </c>
      <c r="I18" s="22" t="s">
        <v>28</v>
      </c>
      <c r="J18" s="20" t="s">
        <v>7</v>
      </c>
    </row>
    <row r="19" ht="22.5" customHeight="1">
      <c r="A19" s="20" t="s">
        <v>94</v>
      </c>
      <c r="B19" s="20" t="s">
        <v>41</v>
      </c>
      <c r="C19" s="20" t="s">
        <v>95</v>
      </c>
      <c r="D19" s="21" t="s">
        <v>50</v>
      </c>
      <c r="E19" s="22" t="s">
        <v>24</v>
      </c>
      <c r="F19" s="23">
        <v>4.0</v>
      </c>
      <c r="G19" s="23">
        <v>3.0</v>
      </c>
      <c r="H19" s="20" t="s">
        <v>96</v>
      </c>
      <c r="I19" s="22" t="s">
        <v>28</v>
      </c>
      <c r="J19" s="20" t="s">
        <v>7</v>
      </c>
    </row>
    <row r="20" ht="22.5" customHeight="1">
      <c r="A20" s="20" t="s">
        <v>97</v>
      </c>
      <c r="B20" s="20" t="s">
        <v>41</v>
      </c>
      <c r="C20" s="20" t="s">
        <v>98</v>
      </c>
      <c r="D20" s="21" t="s">
        <v>99</v>
      </c>
      <c r="E20" s="22" t="s">
        <v>24</v>
      </c>
      <c r="F20" s="23">
        <v>5.0</v>
      </c>
      <c r="G20" s="23">
        <v>4.0</v>
      </c>
      <c r="H20" s="20" t="s">
        <v>100</v>
      </c>
      <c r="I20" s="22" t="s">
        <v>28</v>
      </c>
      <c r="J20" s="20" t="s">
        <v>7</v>
      </c>
    </row>
    <row r="21" ht="22.5" customHeight="1">
      <c r="A21" s="20" t="s">
        <v>101</v>
      </c>
      <c r="B21" s="20" t="s">
        <v>41</v>
      </c>
      <c r="C21" s="20" t="s">
        <v>102</v>
      </c>
      <c r="D21" s="21" t="s">
        <v>103</v>
      </c>
      <c r="E21" s="22" t="s">
        <v>24</v>
      </c>
      <c r="F21" s="23">
        <v>2.0</v>
      </c>
      <c r="G21" s="23">
        <v>2.0</v>
      </c>
      <c r="H21" s="20" t="s">
        <v>104</v>
      </c>
      <c r="I21" s="22" t="s">
        <v>28</v>
      </c>
      <c r="J21" s="20" t="s">
        <v>7</v>
      </c>
    </row>
    <row r="22" ht="22.5" customHeight="1">
      <c r="A22" s="11" t="s">
        <v>105</v>
      </c>
      <c r="B22" s="11" t="s">
        <v>32</v>
      </c>
      <c r="C22" s="11" t="s">
        <v>106</v>
      </c>
      <c r="D22" s="12" t="s">
        <v>43</v>
      </c>
      <c r="E22" s="13" t="s">
        <v>24</v>
      </c>
      <c r="F22" s="15">
        <f t="shared" ref="F22:G22" si="6">SUM(F23:F27)</f>
        <v>15</v>
      </c>
      <c r="G22" s="15">
        <f t="shared" si="6"/>
        <v>15</v>
      </c>
      <c r="H22" s="11" t="s">
        <v>107</v>
      </c>
      <c r="I22" s="13" t="s">
        <v>28</v>
      </c>
      <c r="J22" s="11" t="s">
        <v>7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22.5" customHeight="1">
      <c r="A23" s="20" t="s">
        <v>108</v>
      </c>
      <c r="B23" s="20" t="s">
        <v>41</v>
      </c>
      <c r="C23" s="20" t="s">
        <v>109</v>
      </c>
      <c r="D23" s="21" t="s">
        <v>89</v>
      </c>
      <c r="E23" s="22" t="s">
        <v>110</v>
      </c>
      <c r="F23" s="23">
        <v>3.0</v>
      </c>
      <c r="G23" s="23">
        <v>3.0</v>
      </c>
      <c r="H23" s="20" t="s">
        <v>111</v>
      </c>
      <c r="I23" s="22" t="s">
        <v>28</v>
      </c>
      <c r="J23" s="20" t="s">
        <v>7</v>
      </c>
    </row>
    <row r="24" ht="22.5" customHeight="1">
      <c r="A24" s="20" t="s">
        <v>112</v>
      </c>
      <c r="B24" s="20" t="s">
        <v>41</v>
      </c>
      <c r="C24" s="20" t="s">
        <v>113</v>
      </c>
      <c r="D24" s="21" t="s">
        <v>50</v>
      </c>
      <c r="E24" s="22" t="s">
        <v>24</v>
      </c>
      <c r="F24" s="23">
        <v>3.0</v>
      </c>
      <c r="G24" s="23">
        <v>3.0</v>
      </c>
      <c r="H24" s="20" t="s">
        <v>114</v>
      </c>
      <c r="I24" s="22" t="s">
        <v>28</v>
      </c>
      <c r="J24" s="20" t="s">
        <v>7</v>
      </c>
    </row>
    <row r="25" ht="22.5" customHeight="1">
      <c r="A25" s="20" t="s">
        <v>115</v>
      </c>
      <c r="B25" s="20" t="s">
        <v>41</v>
      </c>
      <c r="C25" s="20" t="s">
        <v>116</v>
      </c>
      <c r="D25" s="21" t="s">
        <v>50</v>
      </c>
      <c r="E25" s="22" t="s">
        <v>24</v>
      </c>
      <c r="F25" s="23">
        <v>3.0</v>
      </c>
      <c r="G25" s="23">
        <v>3.0</v>
      </c>
      <c r="H25" s="20" t="s">
        <v>117</v>
      </c>
      <c r="I25" s="22" t="s">
        <v>28</v>
      </c>
      <c r="J25" s="20" t="s">
        <v>7</v>
      </c>
    </row>
    <row r="26" ht="22.5" customHeight="1">
      <c r="A26" s="20" t="s">
        <v>118</v>
      </c>
      <c r="B26" s="20" t="s">
        <v>41</v>
      </c>
      <c r="C26" s="20" t="s">
        <v>119</v>
      </c>
      <c r="D26" s="21" t="s">
        <v>50</v>
      </c>
      <c r="E26" s="22" t="s">
        <v>24</v>
      </c>
      <c r="F26" s="23">
        <v>3.0</v>
      </c>
      <c r="G26" s="23">
        <v>3.0</v>
      </c>
      <c r="H26" s="20" t="s">
        <v>120</v>
      </c>
      <c r="I26" s="22" t="s">
        <v>28</v>
      </c>
      <c r="J26" s="20" t="s">
        <v>7</v>
      </c>
    </row>
    <row r="27" ht="22.5" customHeight="1">
      <c r="A27" s="20" t="s">
        <v>121</v>
      </c>
      <c r="B27" s="20" t="s">
        <v>41</v>
      </c>
      <c r="C27" s="20" t="s">
        <v>122</v>
      </c>
      <c r="D27" s="21" t="s">
        <v>89</v>
      </c>
      <c r="E27" s="22" t="s">
        <v>110</v>
      </c>
      <c r="F27" s="23">
        <v>3.0</v>
      </c>
      <c r="G27" s="22">
        <v>3.0</v>
      </c>
      <c r="H27" s="20" t="s">
        <v>123</v>
      </c>
      <c r="I27" s="22" t="s">
        <v>28</v>
      </c>
      <c r="J27" s="20" t="s">
        <v>7</v>
      </c>
    </row>
    <row r="28" ht="22.5" customHeight="1">
      <c r="A28" s="11" t="s">
        <v>124</v>
      </c>
      <c r="B28" s="11" t="s">
        <v>21</v>
      </c>
      <c r="C28" s="11" t="s">
        <v>125</v>
      </c>
      <c r="D28" s="12" t="s">
        <v>126</v>
      </c>
      <c r="E28" s="13" t="s">
        <v>24</v>
      </c>
      <c r="F28" s="15">
        <f t="shared" ref="F28:G28" si="7">F29+F34+F40+F46</f>
        <v>40</v>
      </c>
      <c r="G28" s="15">
        <f t="shared" si="7"/>
        <v>33</v>
      </c>
      <c r="H28" s="11" t="s">
        <v>127</v>
      </c>
      <c r="I28" s="13" t="s">
        <v>28</v>
      </c>
      <c r="J28" s="11" t="s">
        <v>18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22.5" customHeight="1">
      <c r="A29" s="11" t="s">
        <v>128</v>
      </c>
      <c r="B29" s="11" t="s">
        <v>32</v>
      </c>
      <c r="C29" s="11" t="s">
        <v>129</v>
      </c>
      <c r="D29" s="12" t="s">
        <v>89</v>
      </c>
      <c r="E29" s="13" t="s">
        <v>24</v>
      </c>
      <c r="F29" s="15">
        <f t="shared" ref="F29:G29" si="8">SUM(F30:F33)</f>
        <v>10</v>
      </c>
      <c r="G29" s="15">
        <f t="shared" si="8"/>
        <v>10</v>
      </c>
      <c r="H29" s="11" t="s">
        <v>130</v>
      </c>
      <c r="I29" s="13" t="s">
        <v>28</v>
      </c>
      <c r="J29" s="11" t="s">
        <v>18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22.5" customHeight="1">
      <c r="A30" s="20" t="s">
        <v>131</v>
      </c>
      <c r="B30" s="20" t="s">
        <v>41</v>
      </c>
      <c r="C30" s="20" t="s">
        <v>132</v>
      </c>
      <c r="D30" s="21" t="s">
        <v>89</v>
      </c>
      <c r="E30" s="22" t="s">
        <v>24</v>
      </c>
      <c r="F30" s="23">
        <v>2.0</v>
      </c>
      <c r="G30" s="23">
        <v>2.0</v>
      </c>
      <c r="H30" s="20" t="s">
        <v>133</v>
      </c>
      <c r="I30" s="22" t="s">
        <v>28</v>
      </c>
      <c r="J30" s="20" t="s">
        <v>18</v>
      </c>
    </row>
    <row r="31" ht="22.5" customHeight="1">
      <c r="A31" s="20" t="s">
        <v>134</v>
      </c>
      <c r="B31" s="20" t="s">
        <v>41</v>
      </c>
      <c r="C31" s="20" t="s">
        <v>135</v>
      </c>
      <c r="D31" s="21" t="s">
        <v>89</v>
      </c>
      <c r="E31" s="22" t="s">
        <v>24</v>
      </c>
      <c r="F31" s="23">
        <v>3.0</v>
      </c>
      <c r="G31" s="23">
        <v>3.0</v>
      </c>
      <c r="H31" s="20" t="s">
        <v>136</v>
      </c>
      <c r="I31" s="22" t="s">
        <v>28</v>
      </c>
      <c r="J31" s="20" t="s">
        <v>18</v>
      </c>
    </row>
    <row r="32" ht="22.5" customHeight="1">
      <c r="A32" s="20" t="s">
        <v>137</v>
      </c>
      <c r="B32" s="20" t="s">
        <v>41</v>
      </c>
      <c r="C32" s="20" t="s">
        <v>138</v>
      </c>
      <c r="D32" s="21" t="s">
        <v>89</v>
      </c>
      <c r="E32" s="22" t="s">
        <v>24</v>
      </c>
      <c r="F32" s="23">
        <v>3.0</v>
      </c>
      <c r="G32" s="23">
        <v>3.0</v>
      </c>
      <c r="H32" s="20" t="s">
        <v>139</v>
      </c>
      <c r="I32" s="22" t="s">
        <v>28</v>
      </c>
      <c r="J32" s="20" t="s">
        <v>18</v>
      </c>
    </row>
    <row r="33" ht="22.5" customHeight="1">
      <c r="A33" s="20" t="s">
        <v>140</v>
      </c>
      <c r="B33" s="20" t="s">
        <v>41</v>
      </c>
      <c r="C33" s="20" t="s">
        <v>141</v>
      </c>
      <c r="D33" s="21" t="s">
        <v>89</v>
      </c>
      <c r="E33" s="22" t="s">
        <v>110</v>
      </c>
      <c r="F33" s="23">
        <v>2.0</v>
      </c>
      <c r="G33" s="25">
        <v>2.0</v>
      </c>
      <c r="H33" s="20" t="s">
        <v>142</v>
      </c>
      <c r="I33" s="22" t="s">
        <v>28</v>
      </c>
      <c r="J33" s="20" t="s">
        <v>18</v>
      </c>
    </row>
    <row r="34" ht="22.5" customHeight="1">
      <c r="A34" s="11" t="s">
        <v>143</v>
      </c>
      <c r="B34" s="11" t="s">
        <v>32</v>
      </c>
      <c r="C34" s="11" t="s">
        <v>144</v>
      </c>
      <c r="D34" s="12" t="s">
        <v>50</v>
      </c>
      <c r="E34" s="13" t="s">
        <v>24</v>
      </c>
      <c r="F34" s="26">
        <f t="shared" ref="F34:G34" si="9">SUM(F35:F39)</f>
        <v>15</v>
      </c>
      <c r="G34" s="26">
        <f t="shared" si="9"/>
        <v>10</v>
      </c>
      <c r="H34" s="11" t="s">
        <v>145</v>
      </c>
      <c r="I34" s="13" t="s">
        <v>28</v>
      </c>
      <c r="J34" s="11" t="s">
        <v>18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ht="22.5" customHeight="1">
      <c r="A35" s="20" t="s">
        <v>146</v>
      </c>
      <c r="B35" s="20" t="s">
        <v>41</v>
      </c>
      <c r="C35" s="20" t="s">
        <v>147</v>
      </c>
      <c r="D35" s="21" t="s">
        <v>50</v>
      </c>
      <c r="E35" s="22" t="s">
        <v>24</v>
      </c>
      <c r="F35" s="23">
        <v>3.0</v>
      </c>
      <c r="G35" s="23">
        <v>2.0</v>
      </c>
      <c r="H35" s="20" t="s">
        <v>148</v>
      </c>
      <c r="I35" s="22" t="s">
        <v>28</v>
      </c>
      <c r="J35" s="20" t="s">
        <v>18</v>
      </c>
    </row>
    <row r="36" ht="22.5" customHeight="1">
      <c r="A36" s="20" t="s">
        <v>149</v>
      </c>
      <c r="B36" s="20" t="s">
        <v>41</v>
      </c>
      <c r="C36" s="20" t="s">
        <v>150</v>
      </c>
      <c r="D36" s="21" t="s">
        <v>50</v>
      </c>
      <c r="E36" s="22" t="s">
        <v>24</v>
      </c>
      <c r="F36" s="23">
        <v>3.0</v>
      </c>
      <c r="G36" s="23">
        <v>2.0</v>
      </c>
      <c r="H36" s="20" t="s">
        <v>151</v>
      </c>
      <c r="I36" s="22" t="s">
        <v>28</v>
      </c>
      <c r="J36" s="20" t="s">
        <v>18</v>
      </c>
    </row>
    <row r="37" ht="22.5" customHeight="1">
      <c r="A37" s="20" t="s">
        <v>152</v>
      </c>
      <c r="B37" s="20" t="s">
        <v>41</v>
      </c>
      <c r="C37" s="20" t="s">
        <v>153</v>
      </c>
      <c r="D37" s="21" t="s">
        <v>50</v>
      </c>
      <c r="E37" s="22" t="s">
        <v>24</v>
      </c>
      <c r="F37" s="23">
        <v>3.0</v>
      </c>
      <c r="G37" s="23">
        <v>2.0</v>
      </c>
      <c r="H37" s="20" t="s">
        <v>154</v>
      </c>
      <c r="I37" s="22" t="s">
        <v>28</v>
      </c>
      <c r="J37" s="20" t="s">
        <v>18</v>
      </c>
    </row>
    <row r="38" ht="22.5" customHeight="1">
      <c r="A38" s="20" t="s">
        <v>155</v>
      </c>
      <c r="B38" s="20" t="s">
        <v>41</v>
      </c>
      <c r="C38" s="20" t="s">
        <v>156</v>
      </c>
      <c r="D38" s="21" t="s">
        <v>50</v>
      </c>
      <c r="E38" s="22" t="s">
        <v>24</v>
      </c>
      <c r="F38" s="23">
        <v>3.0</v>
      </c>
      <c r="G38" s="23">
        <v>2.0</v>
      </c>
      <c r="H38" s="20" t="s">
        <v>157</v>
      </c>
      <c r="I38" s="22" t="s">
        <v>28</v>
      </c>
      <c r="J38" s="20" t="s">
        <v>18</v>
      </c>
    </row>
    <row r="39" ht="22.5" customHeight="1">
      <c r="A39" s="20" t="s">
        <v>158</v>
      </c>
      <c r="B39" s="20" t="s">
        <v>41</v>
      </c>
      <c r="C39" s="20" t="s">
        <v>159</v>
      </c>
      <c r="D39" s="21" t="s">
        <v>99</v>
      </c>
      <c r="E39" s="22" t="s">
        <v>24</v>
      </c>
      <c r="F39" s="23">
        <v>3.0</v>
      </c>
      <c r="G39" s="25">
        <v>2.0</v>
      </c>
      <c r="H39" s="20" t="s">
        <v>160</v>
      </c>
      <c r="I39" s="22" t="s">
        <v>28</v>
      </c>
      <c r="J39" s="20" t="s">
        <v>18</v>
      </c>
    </row>
    <row r="40" ht="22.5" customHeight="1">
      <c r="A40" s="11" t="s">
        <v>161</v>
      </c>
      <c r="B40" s="11" t="s">
        <v>32</v>
      </c>
      <c r="C40" s="11" t="s">
        <v>162</v>
      </c>
      <c r="D40" s="12" t="s">
        <v>99</v>
      </c>
      <c r="E40" s="13" t="s">
        <v>24</v>
      </c>
      <c r="F40" s="26">
        <f t="shared" ref="F40:G40" si="10">SUM(F41:F45)</f>
        <v>9</v>
      </c>
      <c r="G40" s="26">
        <f t="shared" si="10"/>
        <v>8</v>
      </c>
      <c r="H40" s="11" t="s">
        <v>163</v>
      </c>
      <c r="I40" s="13" t="s">
        <v>28</v>
      </c>
      <c r="J40" s="11" t="s">
        <v>18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ht="22.5" customHeight="1">
      <c r="A41" s="20" t="s">
        <v>164</v>
      </c>
      <c r="B41" s="20" t="s">
        <v>41</v>
      </c>
      <c r="C41" s="20" t="s">
        <v>165</v>
      </c>
      <c r="D41" s="21" t="s">
        <v>50</v>
      </c>
      <c r="E41" s="22" t="s">
        <v>24</v>
      </c>
      <c r="F41" s="23">
        <v>2.0</v>
      </c>
      <c r="G41" s="23">
        <v>2.0</v>
      </c>
      <c r="H41" s="20" t="s">
        <v>166</v>
      </c>
      <c r="I41" s="22" t="s">
        <v>28</v>
      </c>
      <c r="J41" s="20" t="s">
        <v>18</v>
      </c>
    </row>
    <row r="42" ht="22.5" customHeight="1">
      <c r="A42" s="20" t="s">
        <v>167</v>
      </c>
      <c r="B42" s="20" t="s">
        <v>41</v>
      </c>
      <c r="C42" s="20" t="s">
        <v>168</v>
      </c>
      <c r="D42" s="21" t="s">
        <v>169</v>
      </c>
      <c r="E42" s="22" t="s">
        <v>24</v>
      </c>
      <c r="F42" s="23">
        <v>2.0</v>
      </c>
      <c r="G42" s="23">
        <v>1.0</v>
      </c>
      <c r="H42" s="20" t="s">
        <v>170</v>
      </c>
      <c r="I42" s="22" t="s">
        <v>28</v>
      </c>
      <c r="J42" s="20" t="s">
        <v>18</v>
      </c>
    </row>
    <row r="43" ht="22.5" customHeight="1">
      <c r="A43" s="20" t="s">
        <v>171</v>
      </c>
      <c r="B43" s="20" t="s">
        <v>41</v>
      </c>
      <c r="C43" s="20" t="s">
        <v>172</v>
      </c>
      <c r="D43" s="21" t="s">
        <v>99</v>
      </c>
      <c r="E43" s="22" t="s">
        <v>24</v>
      </c>
      <c r="F43" s="23">
        <v>2.0</v>
      </c>
      <c r="G43" s="23">
        <v>2.0</v>
      </c>
      <c r="H43" s="20" t="s">
        <v>173</v>
      </c>
      <c r="I43" s="22" t="s">
        <v>28</v>
      </c>
      <c r="J43" s="20" t="s">
        <v>18</v>
      </c>
    </row>
    <row r="44" ht="22.5" customHeight="1">
      <c r="A44" s="20" t="s">
        <v>174</v>
      </c>
      <c r="B44" s="20" t="s">
        <v>41</v>
      </c>
      <c r="C44" s="20" t="s">
        <v>175</v>
      </c>
      <c r="D44" s="21" t="s">
        <v>99</v>
      </c>
      <c r="E44" s="22" t="s">
        <v>24</v>
      </c>
      <c r="F44" s="23">
        <v>2.0</v>
      </c>
      <c r="G44" s="23">
        <v>2.0</v>
      </c>
      <c r="H44" s="20" t="s">
        <v>176</v>
      </c>
      <c r="I44" s="22" t="s">
        <v>28</v>
      </c>
      <c r="J44" s="20" t="s">
        <v>18</v>
      </c>
    </row>
    <row r="45" ht="22.5" customHeight="1">
      <c r="A45" s="20" t="s">
        <v>177</v>
      </c>
      <c r="B45" s="20" t="s">
        <v>41</v>
      </c>
      <c r="C45" s="20" t="s">
        <v>178</v>
      </c>
      <c r="D45" s="21" t="s">
        <v>169</v>
      </c>
      <c r="E45" s="22" t="s">
        <v>110</v>
      </c>
      <c r="F45" s="23">
        <v>1.0</v>
      </c>
      <c r="G45" s="25">
        <v>1.0</v>
      </c>
      <c r="H45" s="20" t="s">
        <v>179</v>
      </c>
      <c r="I45" s="22" t="s">
        <v>28</v>
      </c>
      <c r="J45" s="20" t="s">
        <v>18</v>
      </c>
    </row>
    <row r="46" ht="22.5" customHeight="1">
      <c r="A46" s="11" t="s">
        <v>180</v>
      </c>
      <c r="B46" s="11" t="s">
        <v>32</v>
      </c>
      <c r="C46" s="11" t="s">
        <v>181</v>
      </c>
      <c r="D46" s="12" t="s">
        <v>126</v>
      </c>
      <c r="E46" s="13" t="s">
        <v>110</v>
      </c>
      <c r="F46" s="26">
        <f t="shared" ref="F46:G46" si="11">SUM(F47:F49)</f>
        <v>6</v>
      </c>
      <c r="G46" s="26">
        <f t="shared" si="11"/>
        <v>5</v>
      </c>
      <c r="H46" s="11" t="s">
        <v>182</v>
      </c>
      <c r="I46" s="13" t="s">
        <v>28</v>
      </c>
      <c r="J46" s="11" t="s">
        <v>18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ht="22.5" customHeight="1">
      <c r="A47" s="20" t="s">
        <v>183</v>
      </c>
      <c r="B47" s="20" t="s">
        <v>41</v>
      </c>
      <c r="C47" s="20" t="s">
        <v>184</v>
      </c>
      <c r="D47" s="21" t="s">
        <v>43</v>
      </c>
      <c r="E47" s="22" t="s">
        <v>110</v>
      </c>
      <c r="F47" s="23">
        <v>2.0</v>
      </c>
      <c r="G47" s="23">
        <v>2.0</v>
      </c>
      <c r="H47" s="20" t="s">
        <v>185</v>
      </c>
      <c r="I47" s="22" t="s">
        <v>28</v>
      </c>
      <c r="J47" s="20" t="s">
        <v>18</v>
      </c>
    </row>
    <row r="48" ht="22.5" customHeight="1">
      <c r="A48" s="20" t="s">
        <v>186</v>
      </c>
      <c r="B48" s="20" t="s">
        <v>41</v>
      </c>
      <c r="C48" s="20" t="s">
        <v>187</v>
      </c>
      <c r="D48" s="21" t="s">
        <v>126</v>
      </c>
      <c r="E48" s="22" t="s">
        <v>110</v>
      </c>
      <c r="F48" s="23">
        <v>1.0</v>
      </c>
      <c r="G48" s="23">
        <v>1.0</v>
      </c>
      <c r="H48" s="20" t="s">
        <v>188</v>
      </c>
      <c r="I48" s="22" t="s">
        <v>28</v>
      </c>
      <c r="J48" s="20" t="s">
        <v>18</v>
      </c>
    </row>
    <row r="49" ht="22.5" customHeight="1">
      <c r="A49" s="20" t="s">
        <v>189</v>
      </c>
      <c r="B49" s="20" t="s">
        <v>41</v>
      </c>
      <c r="C49" s="20" t="s">
        <v>190</v>
      </c>
      <c r="D49" s="21" t="s">
        <v>191</v>
      </c>
      <c r="E49" s="22" t="s">
        <v>110</v>
      </c>
      <c r="F49" s="23">
        <v>3.0</v>
      </c>
      <c r="G49" s="25">
        <v>2.0</v>
      </c>
      <c r="H49" s="20" t="s">
        <v>192</v>
      </c>
      <c r="I49" s="22" t="s">
        <v>28</v>
      </c>
      <c r="J49" s="20" t="s">
        <v>18</v>
      </c>
    </row>
    <row r="50" ht="22.5" customHeight="1">
      <c r="A50" s="11" t="s">
        <v>193</v>
      </c>
      <c r="B50" s="11" t="s">
        <v>21</v>
      </c>
      <c r="C50" s="11" t="s">
        <v>194</v>
      </c>
      <c r="D50" s="12" t="s">
        <v>195</v>
      </c>
      <c r="E50" s="13" t="s">
        <v>24</v>
      </c>
      <c r="F50" s="15">
        <f t="shared" ref="F50:G50" si="12">F51</f>
        <v>2</v>
      </c>
      <c r="G50" s="15">
        <f t="shared" si="12"/>
        <v>2</v>
      </c>
      <c r="H50" s="11" t="s">
        <v>196</v>
      </c>
      <c r="I50" s="13" t="s">
        <v>28</v>
      </c>
      <c r="J50" s="11" t="s">
        <v>18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ht="22.5" customHeight="1">
      <c r="A51" s="11" t="s">
        <v>197</v>
      </c>
      <c r="B51" s="11" t="s">
        <v>32</v>
      </c>
      <c r="C51" s="11" t="s">
        <v>198</v>
      </c>
      <c r="D51" s="12" t="s">
        <v>195</v>
      </c>
      <c r="E51" s="13" t="s">
        <v>24</v>
      </c>
      <c r="F51" s="26">
        <f t="shared" ref="F51:G51" si="13">SUM(F52:F53)</f>
        <v>2</v>
      </c>
      <c r="G51" s="26">
        <f t="shared" si="13"/>
        <v>2</v>
      </c>
      <c r="H51" s="11" t="s">
        <v>199</v>
      </c>
      <c r="I51" s="13" t="s">
        <v>28</v>
      </c>
      <c r="J51" s="11" t="s">
        <v>18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ht="22.5" customHeight="1">
      <c r="A52" s="20" t="s">
        <v>200</v>
      </c>
      <c r="B52" s="20" t="s">
        <v>41</v>
      </c>
      <c r="C52" s="20" t="s">
        <v>201</v>
      </c>
      <c r="D52" s="21" t="s">
        <v>59</v>
      </c>
      <c r="E52" s="22" t="s">
        <v>24</v>
      </c>
      <c r="F52" s="23">
        <v>1.0</v>
      </c>
      <c r="G52" s="23">
        <v>1.0</v>
      </c>
      <c r="H52" s="20" t="s">
        <v>202</v>
      </c>
      <c r="I52" s="22" t="s">
        <v>28</v>
      </c>
      <c r="J52" s="20" t="s">
        <v>18</v>
      </c>
    </row>
    <row r="53" ht="22.5" customHeight="1">
      <c r="A53" s="20" t="s">
        <v>203</v>
      </c>
      <c r="B53" s="20" t="s">
        <v>41</v>
      </c>
      <c r="C53" s="20" t="s">
        <v>204</v>
      </c>
      <c r="D53" s="21" t="s">
        <v>195</v>
      </c>
      <c r="E53" s="22" t="s">
        <v>24</v>
      </c>
      <c r="F53" s="23">
        <v>1.0</v>
      </c>
      <c r="G53" s="25">
        <v>1.0</v>
      </c>
      <c r="H53" s="20" t="s">
        <v>205</v>
      </c>
      <c r="I53" s="22" t="s">
        <v>28</v>
      </c>
      <c r="J53" s="20" t="s">
        <v>18</v>
      </c>
    </row>
    <row r="54" ht="22.5" customHeight="1">
      <c r="A54" s="11" t="s">
        <v>206</v>
      </c>
      <c r="B54" s="11" t="s">
        <v>21</v>
      </c>
      <c r="C54" s="11" t="s">
        <v>207</v>
      </c>
      <c r="D54" s="12" t="s">
        <v>89</v>
      </c>
      <c r="E54" s="13" t="s">
        <v>24</v>
      </c>
      <c r="F54" s="15">
        <f t="shared" ref="F54:G54" si="14">F55+F61+F66+F71+F80</f>
        <v>32</v>
      </c>
      <c r="G54" s="15">
        <f t="shared" si="14"/>
        <v>42</v>
      </c>
      <c r="H54" s="11" t="s">
        <v>208</v>
      </c>
      <c r="I54" s="13" t="s">
        <v>28</v>
      </c>
      <c r="J54" s="11" t="s">
        <v>18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ht="22.5" customHeight="1">
      <c r="A55" s="11" t="s">
        <v>209</v>
      </c>
      <c r="B55" s="11" t="s">
        <v>32</v>
      </c>
      <c r="C55" s="11" t="s">
        <v>210</v>
      </c>
      <c r="D55" s="12" t="s">
        <v>89</v>
      </c>
      <c r="E55" s="13" t="s">
        <v>24</v>
      </c>
      <c r="F55" s="26">
        <f t="shared" ref="F55:G55" si="15">SUM(F56:F60)</f>
        <v>5</v>
      </c>
      <c r="G55" s="26">
        <f t="shared" si="15"/>
        <v>5</v>
      </c>
      <c r="H55" s="11" t="s">
        <v>211</v>
      </c>
      <c r="I55" s="13" t="s">
        <v>28</v>
      </c>
      <c r="J55" s="11" t="s">
        <v>18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ht="22.5" customHeight="1">
      <c r="A56" s="20" t="s">
        <v>212</v>
      </c>
      <c r="B56" s="20" t="s">
        <v>41</v>
      </c>
      <c r="C56" s="20" t="s">
        <v>213</v>
      </c>
      <c r="D56" s="21" t="s">
        <v>89</v>
      </c>
      <c r="E56" s="22" t="s">
        <v>24</v>
      </c>
      <c r="F56" s="23">
        <v>1.0</v>
      </c>
      <c r="G56" s="23">
        <v>1.0</v>
      </c>
      <c r="H56" s="20" t="s">
        <v>214</v>
      </c>
      <c r="I56" s="22" t="s">
        <v>28</v>
      </c>
      <c r="J56" s="20" t="s">
        <v>18</v>
      </c>
    </row>
    <row r="57" ht="22.5" customHeight="1">
      <c r="A57" s="20" t="s">
        <v>215</v>
      </c>
      <c r="B57" s="20" t="s">
        <v>41</v>
      </c>
      <c r="C57" s="20" t="s">
        <v>216</v>
      </c>
      <c r="D57" s="21" t="s">
        <v>89</v>
      </c>
      <c r="E57" s="22" t="s">
        <v>24</v>
      </c>
      <c r="F57" s="23">
        <v>1.0</v>
      </c>
      <c r="G57" s="23">
        <v>1.0</v>
      </c>
      <c r="H57" s="20" t="s">
        <v>217</v>
      </c>
      <c r="I57" s="22" t="s">
        <v>28</v>
      </c>
      <c r="J57" s="20" t="s">
        <v>18</v>
      </c>
    </row>
    <row r="58" ht="22.5" customHeight="1">
      <c r="A58" s="20" t="s">
        <v>218</v>
      </c>
      <c r="B58" s="20" t="s">
        <v>41</v>
      </c>
      <c r="C58" s="20" t="s">
        <v>219</v>
      </c>
      <c r="D58" s="21" t="s">
        <v>89</v>
      </c>
      <c r="E58" s="22" t="s">
        <v>24</v>
      </c>
      <c r="F58" s="23">
        <v>1.0</v>
      </c>
      <c r="G58" s="23">
        <v>1.0</v>
      </c>
      <c r="H58" s="20" t="s">
        <v>220</v>
      </c>
      <c r="I58" s="22" t="s">
        <v>28</v>
      </c>
      <c r="J58" s="20" t="s">
        <v>18</v>
      </c>
    </row>
    <row r="59" ht="22.5" customHeight="1">
      <c r="A59" s="20" t="s">
        <v>221</v>
      </c>
      <c r="B59" s="20" t="s">
        <v>41</v>
      </c>
      <c r="C59" s="20" t="s">
        <v>222</v>
      </c>
      <c r="D59" s="21" t="s">
        <v>89</v>
      </c>
      <c r="E59" s="22" t="s">
        <v>110</v>
      </c>
      <c r="F59" s="23">
        <v>1.0</v>
      </c>
      <c r="G59" s="25">
        <v>1.0</v>
      </c>
      <c r="H59" s="20" t="s">
        <v>223</v>
      </c>
      <c r="I59" s="22" t="s">
        <v>28</v>
      </c>
      <c r="J59" s="20" t="s">
        <v>18</v>
      </c>
    </row>
    <row r="60" ht="22.5" customHeight="1">
      <c r="A60" s="20" t="s">
        <v>224</v>
      </c>
      <c r="B60" s="20" t="s">
        <v>41</v>
      </c>
      <c r="C60" s="20" t="s">
        <v>225</v>
      </c>
      <c r="D60" s="21" t="s">
        <v>43</v>
      </c>
      <c r="E60" s="22" t="s">
        <v>24</v>
      </c>
      <c r="F60" s="23">
        <v>1.0</v>
      </c>
      <c r="G60" s="23">
        <v>1.0</v>
      </c>
      <c r="H60" s="20" t="s">
        <v>226</v>
      </c>
      <c r="I60" s="22" t="s">
        <v>28</v>
      </c>
      <c r="J60" s="20" t="s">
        <v>18</v>
      </c>
    </row>
    <row r="61" ht="22.5" customHeight="1">
      <c r="A61" s="11" t="s">
        <v>227</v>
      </c>
      <c r="B61" s="11" t="s">
        <v>32</v>
      </c>
      <c r="C61" s="11" t="s">
        <v>228</v>
      </c>
      <c r="D61" s="12" t="s">
        <v>89</v>
      </c>
      <c r="E61" s="13" t="s">
        <v>24</v>
      </c>
      <c r="F61" s="26">
        <f t="shared" ref="F61:G61" si="16">SUM(F62:F65)</f>
        <v>7</v>
      </c>
      <c r="G61" s="26">
        <f t="shared" si="16"/>
        <v>7</v>
      </c>
      <c r="H61" s="11" t="s">
        <v>229</v>
      </c>
      <c r="I61" s="13" t="s">
        <v>28</v>
      </c>
      <c r="J61" s="11" t="s">
        <v>18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ht="22.5" customHeight="1">
      <c r="A62" s="20" t="s">
        <v>230</v>
      </c>
      <c r="B62" s="20" t="s">
        <v>41</v>
      </c>
      <c r="C62" s="20" t="s">
        <v>231</v>
      </c>
      <c r="D62" s="21" t="s">
        <v>89</v>
      </c>
      <c r="E62" s="22" t="s">
        <v>24</v>
      </c>
      <c r="F62" s="23">
        <v>2.0</v>
      </c>
      <c r="G62" s="23">
        <v>2.0</v>
      </c>
      <c r="H62" s="20" t="s">
        <v>232</v>
      </c>
      <c r="I62" s="22" t="s">
        <v>28</v>
      </c>
      <c r="J62" s="20" t="s">
        <v>18</v>
      </c>
    </row>
    <row r="63" ht="22.5" customHeight="1">
      <c r="A63" s="20" t="s">
        <v>233</v>
      </c>
      <c r="B63" s="20" t="s">
        <v>41</v>
      </c>
      <c r="C63" s="20" t="s">
        <v>234</v>
      </c>
      <c r="D63" s="21" t="s">
        <v>89</v>
      </c>
      <c r="E63" s="22" t="s">
        <v>24</v>
      </c>
      <c r="F63" s="23">
        <v>1.0</v>
      </c>
      <c r="G63" s="25">
        <v>1.0</v>
      </c>
      <c r="H63" s="20" t="s">
        <v>235</v>
      </c>
      <c r="I63" s="22" t="s">
        <v>28</v>
      </c>
      <c r="J63" s="20" t="s">
        <v>18</v>
      </c>
    </row>
    <row r="64" ht="22.5" customHeight="1">
      <c r="A64" s="20" t="s">
        <v>236</v>
      </c>
      <c r="B64" s="20" t="s">
        <v>41</v>
      </c>
      <c r="C64" s="20" t="s">
        <v>237</v>
      </c>
      <c r="D64" s="21" t="s">
        <v>89</v>
      </c>
      <c r="E64" s="22" t="s">
        <v>24</v>
      </c>
      <c r="F64" s="23">
        <v>2.0</v>
      </c>
      <c r="G64" s="23">
        <v>2.0</v>
      </c>
      <c r="H64" s="20" t="s">
        <v>238</v>
      </c>
      <c r="I64" s="22" t="s">
        <v>28</v>
      </c>
      <c r="J64" s="20" t="s">
        <v>18</v>
      </c>
    </row>
    <row r="65" ht="22.5" customHeight="1">
      <c r="A65" s="20" t="s">
        <v>239</v>
      </c>
      <c r="B65" s="20" t="s">
        <v>41</v>
      </c>
      <c r="C65" s="20" t="s">
        <v>240</v>
      </c>
      <c r="D65" s="21" t="s">
        <v>89</v>
      </c>
      <c r="E65" s="22" t="s">
        <v>110</v>
      </c>
      <c r="F65" s="23">
        <v>2.0</v>
      </c>
      <c r="G65" s="23">
        <v>2.0</v>
      </c>
      <c r="H65" s="20" t="s">
        <v>241</v>
      </c>
      <c r="I65" s="22" t="s">
        <v>28</v>
      </c>
      <c r="J65" s="20" t="s">
        <v>18</v>
      </c>
    </row>
    <row r="66" ht="22.5" customHeight="1">
      <c r="A66" s="11" t="s">
        <v>242</v>
      </c>
      <c r="B66" s="11" t="s">
        <v>32</v>
      </c>
      <c r="C66" s="11" t="s">
        <v>243</v>
      </c>
      <c r="D66" s="12" t="s">
        <v>89</v>
      </c>
      <c r="E66" s="13" t="s">
        <v>24</v>
      </c>
      <c r="F66" s="26">
        <f t="shared" ref="F66:G66" si="17">SUM(F67:F70)</f>
        <v>6</v>
      </c>
      <c r="G66" s="26">
        <f t="shared" si="17"/>
        <v>6</v>
      </c>
      <c r="H66" s="11" t="s">
        <v>244</v>
      </c>
      <c r="I66" s="13" t="s">
        <v>28</v>
      </c>
      <c r="J66" s="11" t="s">
        <v>18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ht="22.5" customHeight="1">
      <c r="A67" s="20" t="s">
        <v>245</v>
      </c>
      <c r="B67" s="20" t="s">
        <v>41</v>
      </c>
      <c r="C67" s="20" t="s">
        <v>246</v>
      </c>
      <c r="D67" s="21" t="s">
        <v>89</v>
      </c>
      <c r="E67" s="22" t="s">
        <v>24</v>
      </c>
      <c r="F67" s="23">
        <v>2.0</v>
      </c>
      <c r="G67" s="25">
        <v>2.0</v>
      </c>
      <c r="H67" s="20" t="s">
        <v>247</v>
      </c>
      <c r="I67" s="22" t="s">
        <v>28</v>
      </c>
      <c r="J67" s="20" t="s">
        <v>18</v>
      </c>
    </row>
    <row r="68" ht="15.75" customHeight="1">
      <c r="A68" s="20" t="s">
        <v>248</v>
      </c>
      <c r="B68" s="20" t="s">
        <v>41</v>
      </c>
      <c r="C68" s="20" t="s">
        <v>249</v>
      </c>
      <c r="D68" s="21" t="s">
        <v>89</v>
      </c>
      <c r="E68" s="22" t="s">
        <v>24</v>
      </c>
      <c r="F68" s="23">
        <v>1.0</v>
      </c>
      <c r="G68" s="23">
        <v>1.0</v>
      </c>
      <c r="H68" s="20" t="s">
        <v>250</v>
      </c>
      <c r="I68" s="22" t="s">
        <v>28</v>
      </c>
      <c r="J68" s="20" t="s">
        <v>18</v>
      </c>
    </row>
    <row r="69" ht="15.75" customHeight="1">
      <c r="A69" s="20" t="s">
        <v>251</v>
      </c>
      <c r="B69" s="20" t="s">
        <v>41</v>
      </c>
      <c r="C69" s="20" t="s">
        <v>252</v>
      </c>
      <c r="D69" s="21" t="s">
        <v>89</v>
      </c>
      <c r="E69" s="22" t="s">
        <v>24</v>
      </c>
      <c r="F69" s="23">
        <v>1.0</v>
      </c>
      <c r="G69" s="23">
        <v>1.0</v>
      </c>
      <c r="H69" s="20" t="s">
        <v>253</v>
      </c>
      <c r="I69" s="22" t="s">
        <v>28</v>
      </c>
      <c r="J69" s="20" t="s">
        <v>18</v>
      </c>
    </row>
    <row r="70" ht="15.75" customHeight="1">
      <c r="A70" s="20" t="s">
        <v>254</v>
      </c>
      <c r="B70" s="20" t="s">
        <v>41</v>
      </c>
      <c r="C70" s="20" t="s">
        <v>255</v>
      </c>
      <c r="D70" s="21" t="s">
        <v>89</v>
      </c>
      <c r="E70" s="22" t="s">
        <v>24</v>
      </c>
      <c r="F70" s="23">
        <v>2.0</v>
      </c>
      <c r="G70" s="23">
        <v>2.0</v>
      </c>
      <c r="H70" s="20" t="s">
        <v>256</v>
      </c>
      <c r="I70" s="22" t="s">
        <v>28</v>
      </c>
      <c r="J70" s="20" t="s">
        <v>18</v>
      </c>
    </row>
    <row r="71" ht="15.75" customHeight="1">
      <c r="A71" s="11" t="s">
        <v>257</v>
      </c>
      <c r="B71" s="11" t="s">
        <v>32</v>
      </c>
      <c r="C71" s="11" t="s">
        <v>258</v>
      </c>
      <c r="D71" s="12" t="s">
        <v>89</v>
      </c>
      <c r="E71" s="13" t="s">
        <v>24</v>
      </c>
      <c r="F71" s="15">
        <f t="shared" ref="F71:G71" si="18">SUM(F72:F79)</f>
        <v>10</v>
      </c>
      <c r="G71" s="15">
        <f t="shared" si="18"/>
        <v>14</v>
      </c>
      <c r="H71" s="11" t="s">
        <v>259</v>
      </c>
      <c r="I71" s="13" t="s">
        <v>28</v>
      </c>
      <c r="J71" s="11" t="s">
        <v>18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ht="15.75" customHeight="1">
      <c r="A72" s="20" t="s">
        <v>260</v>
      </c>
      <c r="B72" s="20" t="s">
        <v>41</v>
      </c>
      <c r="C72" s="20" t="s">
        <v>261</v>
      </c>
      <c r="D72" s="21" t="s">
        <v>89</v>
      </c>
      <c r="E72" s="22" t="s">
        <v>24</v>
      </c>
      <c r="F72" s="23">
        <v>2.0</v>
      </c>
      <c r="G72" s="23">
        <v>2.0</v>
      </c>
      <c r="H72" s="20" t="s">
        <v>262</v>
      </c>
      <c r="I72" s="22" t="s">
        <v>28</v>
      </c>
      <c r="J72" s="20" t="s">
        <v>18</v>
      </c>
    </row>
    <row r="73" ht="22.5" customHeight="1">
      <c r="A73" s="20" t="s">
        <v>263</v>
      </c>
      <c r="B73" s="20" t="s">
        <v>41</v>
      </c>
      <c r="C73" s="20" t="s">
        <v>264</v>
      </c>
      <c r="D73" s="21" t="s">
        <v>89</v>
      </c>
      <c r="E73" s="22" t="s">
        <v>24</v>
      </c>
      <c r="F73" s="23">
        <v>2.0</v>
      </c>
      <c r="G73" s="23">
        <v>5.0</v>
      </c>
      <c r="H73" s="20" t="s">
        <v>265</v>
      </c>
      <c r="I73" s="22" t="s">
        <v>28</v>
      </c>
      <c r="J73" s="20" t="s">
        <v>18</v>
      </c>
    </row>
    <row r="74" ht="15.75" customHeight="1">
      <c r="A74" s="20" t="s">
        <v>266</v>
      </c>
      <c r="B74" s="20" t="s">
        <v>41</v>
      </c>
      <c r="C74" s="20" t="s">
        <v>267</v>
      </c>
      <c r="D74" s="21" t="s">
        <v>89</v>
      </c>
      <c r="E74" s="22" t="s">
        <v>24</v>
      </c>
      <c r="F74" s="23">
        <v>1.0</v>
      </c>
      <c r="G74" s="25">
        <v>1.0</v>
      </c>
      <c r="H74" s="20" t="s">
        <v>268</v>
      </c>
      <c r="I74" s="22" t="s">
        <v>28</v>
      </c>
      <c r="J74" s="20" t="s">
        <v>18</v>
      </c>
    </row>
    <row r="75" ht="15.75" customHeight="1">
      <c r="A75" s="20" t="s">
        <v>269</v>
      </c>
      <c r="B75" s="20" t="s">
        <v>41</v>
      </c>
      <c r="C75" s="20" t="s">
        <v>270</v>
      </c>
      <c r="D75" s="21" t="s">
        <v>89</v>
      </c>
      <c r="E75" s="22" t="s">
        <v>24</v>
      </c>
      <c r="F75" s="23">
        <v>1.0</v>
      </c>
      <c r="G75" s="25">
        <v>1.0</v>
      </c>
      <c r="H75" s="20" t="s">
        <v>268</v>
      </c>
      <c r="I75" s="22" t="s">
        <v>28</v>
      </c>
      <c r="J75" s="20" t="s">
        <v>18</v>
      </c>
    </row>
    <row r="76" ht="15.75" customHeight="1">
      <c r="A76" s="20" t="s">
        <v>271</v>
      </c>
      <c r="B76" s="20" t="s">
        <v>41</v>
      </c>
      <c r="C76" s="20" t="s">
        <v>272</v>
      </c>
      <c r="D76" s="21" t="s">
        <v>89</v>
      </c>
      <c r="E76" s="22" t="s">
        <v>24</v>
      </c>
      <c r="F76" s="23">
        <v>1.0</v>
      </c>
      <c r="G76" s="23">
        <v>1.0</v>
      </c>
      <c r="H76" s="20" t="s">
        <v>268</v>
      </c>
      <c r="I76" s="22" t="s">
        <v>28</v>
      </c>
      <c r="J76" s="20" t="s">
        <v>18</v>
      </c>
    </row>
    <row r="77" ht="15.75" customHeight="1">
      <c r="A77" s="20" t="s">
        <v>273</v>
      </c>
      <c r="B77" s="20" t="s">
        <v>41</v>
      </c>
      <c r="C77" s="20" t="s">
        <v>274</v>
      </c>
      <c r="D77" s="21" t="s">
        <v>89</v>
      </c>
      <c r="E77" s="22" t="s">
        <v>24</v>
      </c>
      <c r="F77" s="23">
        <v>1.0</v>
      </c>
      <c r="G77" s="23">
        <v>1.0</v>
      </c>
      <c r="H77" s="20" t="s">
        <v>268</v>
      </c>
      <c r="I77" s="22" t="s">
        <v>28</v>
      </c>
      <c r="J77" s="20" t="s">
        <v>18</v>
      </c>
    </row>
    <row r="78" ht="15.75" customHeight="1">
      <c r="A78" s="20" t="s">
        <v>275</v>
      </c>
      <c r="B78" s="20" t="s">
        <v>41</v>
      </c>
      <c r="C78" s="20" t="s">
        <v>276</v>
      </c>
      <c r="D78" s="21" t="s">
        <v>89</v>
      </c>
      <c r="E78" s="22" t="s">
        <v>24</v>
      </c>
      <c r="F78" s="23">
        <v>1.0</v>
      </c>
      <c r="G78" s="23">
        <v>1.0</v>
      </c>
      <c r="H78" s="20" t="s">
        <v>268</v>
      </c>
      <c r="I78" s="22" t="s">
        <v>28</v>
      </c>
      <c r="J78" s="20" t="s">
        <v>18</v>
      </c>
    </row>
    <row r="79" ht="15.75" customHeight="1">
      <c r="A79" s="20" t="s">
        <v>277</v>
      </c>
      <c r="B79" s="20" t="s">
        <v>41</v>
      </c>
      <c r="C79" s="20" t="s">
        <v>278</v>
      </c>
      <c r="D79" s="21" t="s">
        <v>89</v>
      </c>
      <c r="E79" s="22" t="s">
        <v>24</v>
      </c>
      <c r="F79" s="23">
        <v>1.0</v>
      </c>
      <c r="G79" s="23">
        <v>2.0</v>
      </c>
      <c r="H79" s="20" t="s">
        <v>279</v>
      </c>
      <c r="I79" s="22" t="s">
        <v>28</v>
      </c>
      <c r="J79" s="20" t="s">
        <v>18</v>
      </c>
    </row>
    <row r="80" ht="15.75" customHeight="1">
      <c r="A80" s="11" t="s">
        <v>280</v>
      </c>
      <c r="B80" s="11" t="s">
        <v>32</v>
      </c>
      <c r="C80" s="11" t="s">
        <v>281</v>
      </c>
      <c r="D80" s="12" t="s">
        <v>89</v>
      </c>
      <c r="E80" s="13" t="s">
        <v>24</v>
      </c>
      <c r="F80" s="15">
        <f t="shared" ref="F80:G80" si="19">SUM(F81:F83)</f>
        <v>4</v>
      </c>
      <c r="G80" s="15">
        <f t="shared" si="19"/>
        <v>10</v>
      </c>
      <c r="H80" s="11" t="s">
        <v>282</v>
      </c>
      <c r="I80" s="13" t="s">
        <v>28</v>
      </c>
      <c r="J80" s="11" t="s">
        <v>18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ht="15.75" customHeight="1">
      <c r="A81" s="20" t="s">
        <v>283</v>
      </c>
      <c r="B81" s="20" t="s">
        <v>41</v>
      </c>
      <c r="C81" s="20" t="s">
        <v>284</v>
      </c>
      <c r="D81" s="21" t="s">
        <v>89</v>
      </c>
      <c r="E81" s="22" t="s">
        <v>24</v>
      </c>
      <c r="F81" s="23">
        <v>2.0</v>
      </c>
      <c r="G81" s="23">
        <v>8.0</v>
      </c>
      <c r="H81" s="20" t="s">
        <v>285</v>
      </c>
      <c r="I81" s="22" t="s">
        <v>28</v>
      </c>
      <c r="J81" s="20" t="s">
        <v>18</v>
      </c>
    </row>
    <row r="82" ht="15.75" customHeight="1">
      <c r="A82" s="20" t="s">
        <v>286</v>
      </c>
      <c r="B82" s="20" t="s">
        <v>41</v>
      </c>
      <c r="C82" s="20" t="s">
        <v>287</v>
      </c>
      <c r="D82" s="21" t="s">
        <v>89</v>
      </c>
      <c r="E82" s="22" t="s">
        <v>24</v>
      </c>
      <c r="F82" s="23">
        <v>1.0</v>
      </c>
      <c r="G82" s="23">
        <v>1.0</v>
      </c>
      <c r="H82" s="20" t="s">
        <v>288</v>
      </c>
      <c r="I82" s="22" t="s">
        <v>28</v>
      </c>
      <c r="J82" s="20" t="s">
        <v>18</v>
      </c>
    </row>
    <row r="83" ht="15.75" customHeight="1">
      <c r="A83" s="20" t="s">
        <v>289</v>
      </c>
      <c r="B83" s="20" t="s">
        <v>41</v>
      </c>
      <c r="C83" s="20" t="s">
        <v>290</v>
      </c>
      <c r="D83" s="21" t="s">
        <v>89</v>
      </c>
      <c r="E83" s="22" t="s">
        <v>110</v>
      </c>
      <c r="F83" s="23">
        <v>1.0</v>
      </c>
      <c r="G83" s="23">
        <v>1.0</v>
      </c>
      <c r="H83" s="20" t="s">
        <v>291</v>
      </c>
      <c r="I83" s="22" t="s">
        <v>28</v>
      </c>
      <c r="J83" s="20" t="s">
        <v>18</v>
      </c>
    </row>
    <row r="84" ht="15.75" customHeight="1">
      <c r="A84" s="11" t="s">
        <v>292</v>
      </c>
      <c r="B84" s="11" t="s">
        <v>21</v>
      </c>
      <c r="C84" s="11" t="s">
        <v>293</v>
      </c>
      <c r="D84" s="12" t="s">
        <v>50</v>
      </c>
      <c r="E84" s="13" t="s">
        <v>24</v>
      </c>
      <c r="F84" s="27">
        <v>47.0</v>
      </c>
      <c r="G84" s="26">
        <f>G85+G90+G96+G102+G108</f>
        <v>31</v>
      </c>
      <c r="H84" s="11" t="s">
        <v>294</v>
      </c>
      <c r="I84" s="28" t="s">
        <v>28</v>
      </c>
      <c r="J84" s="11" t="s">
        <v>25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ht="15.75" customHeight="1">
      <c r="A85" s="11" t="s">
        <v>295</v>
      </c>
      <c r="B85" s="11" t="s">
        <v>32</v>
      </c>
      <c r="C85" s="11" t="s">
        <v>296</v>
      </c>
      <c r="D85" s="12" t="s">
        <v>50</v>
      </c>
      <c r="E85" s="13" t="s">
        <v>24</v>
      </c>
      <c r="F85" s="15">
        <f t="shared" ref="F85:G85" si="20">SUM(F86:F89)</f>
        <v>5</v>
      </c>
      <c r="G85" s="15">
        <f t="shared" si="20"/>
        <v>5</v>
      </c>
      <c r="H85" s="29" t="s">
        <v>297</v>
      </c>
      <c r="I85" s="28" t="s">
        <v>28</v>
      </c>
      <c r="J85" s="11" t="s">
        <v>25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ht="15.75" customHeight="1">
      <c r="A86" s="20" t="s">
        <v>298</v>
      </c>
      <c r="B86" s="20" t="s">
        <v>41</v>
      </c>
      <c r="C86" s="20" t="s">
        <v>299</v>
      </c>
      <c r="D86" s="21" t="s">
        <v>50</v>
      </c>
      <c r="E86" s="22" t="s">
        <v>24</v>
      </c>
      <c r="F86" s="23">
        <v>1.0</v>
      </c>
      <c r="G86" s="30">
        <v>1.0</v>
      </c>
      <c r="H86" s="31" t="s">
        <v>300</v>
      </c>
      <c r="I86" s="32" t="s">
        <v>28</v>
      </c>
      <c r="J86" s="20" t="s">
        <v>25</v>
      </c>
    </row>
    <row r="87" ht="15.75" customHeight="1">
      <c r="A87" s="20" t="s">
        <v>301</v>
      </c>
      <c r="B87" s="20" t="s">
        <v>41</v>
      </c>
      <c r="C87" s="20" t="s">
        <v>302</v>
      </c>
      <c r="D87" s="21" t="s">
        <v>50</v>
      </c>
      <c r="E87" s="22" t="s">
        <v>24</v>
      </c>
      <c r="F87" s="23">
        <v>1.0</v>
      </c>
      <c r="G87" s="30">
        <v>1.0</v>
      </c>
      <c r="H87" s="31" t="s">
        <v>303</v>
      </c>
      <c r="I87" s="32" t="s">
        <v>28</v>
      </c>
      <c r="J87" s="20" t="s">
        <v>25</v>
      </c>
    </row>
    <row r="88" ht="15.75" customHeight="1">
      <c r="A88" s="20" t="s">
        <v>304</v>
      </c>
      <c r="B88" s="20" t="s">
        <v>41</v>
      </c>
      <c r="C88" s="20" t="s">
        <v>305</v>
      </c>
      <c r="D88" s="21" t="s">
        <v>50</v>
      </c>
      <c r="E88" s="22" t="s">
        <v>24</v>
      </c>
      <c r="F88" s="23">
        <v>2.0</v>
      </c>
      <c r="G88" s="30">
        <v>2.0</v>
      </c>
      <c r="H88" s="31" t="s">
        <v>306</v>
      </c>
      <c r="I88" s="32" t="s">
        <v>28</v>
      </c>
      <c r="J88" s="20" t="s">
        <v>25</v>
      </c>
    </row>
    <row r="89" ht="15.75" customHeight="1">
      <c r="A89" s="20" t="s">
        <v>307</v>
      </c>
      <c r="B89" s="20" t="s">
        <v>41</v>
      </c>
      <c r="C89" s="20" t="s">
        <v>308</v>
      </c>
      <c r="D89" s="21" t="s">
        <v>50</v>
      </c>
      <c r="E89" s="22" t="s">
        <v>24</v>
      </c>
      <c r="F89" s="23">
        <v>1.0</v>
      </c>
      <c r="G89" s="30">
        <v>1.0</v>
      </c>
      <c r="H89" s="31" t="s">
        <v>309</v>
      </c>
      <c r="I89" s="32" t="s">
        <v>28</v>
      </c>
      <c r="J89" s="20" t="s">
        <v>25</v>
      </c>
    </row>
    <row r="90" ht="15.75" customHeight="1">
      <c r="A90" s="11" t="s">
        <v>310</v>
      </c>
      <c r="B90" s="11" t="s">
        <v>32</v>
      </c>
      <c r="C90" s="11" t="s">
        <v>311</v>
      </c>
      <c r="D90" s="12" t="s">
        <v>50</v>
      </c>
      <c r="E90" s="13" t="s">
        <v>24</v>
      </c>
      <c r="F90" s="15">
        <f t="shared" ref="F90:G90" si="21">SUM(F91:F95)</f>
        <v>11</v>
      </c>
      <c r="G90" s="15">
        <f t="shared" si="21"/>
        <v>7</v>
      </c>
      <c r="H90" s="11" t="s">
        <v>312</v>
      </c>
      <c r="I90" s="28" t="s">
        <v>28</v>
      </c>
      <c r="J90" s="11" t="s">
        <v>25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ht="15.75" customHeight="1">
      <c r="A91" s="20" t="s">
        <v>313</v>
      </c>
      <c r="B91" s="20" t="s">
        <v>41</v>
      </c>
      <c r="C91" s="20" t="s">
        <v>314</v>
      </c>
      <c r="D91" s="21" t="s">
        <v>50</v>
      </c>
      <c r="E91" s="22" t="s">
        <v>24</v>
      </c>
      <c r="F91" s="23">
        <v>2.0</v>
      </c>
      <c r="G91" s="30">
        <v>1.0</v>
      </c>
      <c r="H91" s="20" t="s">
        <v>315</v>
      </c>
      <c r="I91" s="32" t="s">
        <v>28</v>
      </c>
      <c r="J91" s="20" t="s">
        <v>25</v>
      </c>
    </row>
    <row r="92" ht="15.75" customHeight="1">
      <c r="A92" s="20" t="s">
        <v>316</v>
      </c>
      <c r="B92" s="20" t="s">
        <v>41</v>
      </c>
      <c r="C92" s="20" t="s">
        <v>317</v>
      </c>
      <c r="D92" s="21" t="s">
        <v>50</v>
      </c>
      <c r="E92" s="22" t="s">
        <v>24</v>
      </c>
      <c r="F92" s="23">
        <v>3.0</v>
      </c>
      <c r="G92" s="30">
        <v>2.0</v>
      </c>
      <c r="H92" s="20" t="s">
        <v>318</v>
      </c>
      <c r="I92" s="32" t="s">
        <v>28</v>
      </c>
      <c r="J92" s="20" t="s">
        <v>25</v>
      </c>
    </row>
    <row r="93" ht="15.75" customHeight="1">
      <c r="A93" s="20" t="s">
        <v>319</v>
      </c>
      <c r="B93" s="20" t="s">
        <v>41</v>
      </c>
      <c r="C93" s="20" t="s">
        <v>320</v>
      </c>
      <c r="D93" s="21" t="s">
        <v>99</v>
      </c>
      <c r="E93" s="22" t="s">
        <v>24</v>
      </c>
      <c r="F93" s="23">
        <v>2.0</v>
      </c>
      <c r="G93" s="30">
        <v>1.0</v>
      </c>
      <c r="H93" s="20" t="s">
        <v>321</v>
      </c>
      <c r="I93" s="32" t="s">
        <v>28</v>
      </c>
      <c r="J93" s="20" t="s">
        <v>25</v>
      </c>
    </row>
    <row r="94" ht="15.75" customHeight="1">
      <c r="A94" s="20" t="s">
        <v>322</v>
      </c>
      <c r="B94" s="20" t="s">
        <v>41</v>
      </c>
      <c r="C94" s="20" t="s">
        <v>323</v>
      </c>
      <c r="D94" s="21" t="s">
        <v>99</v>
      </c>
      <c r="E94" s="22" t="s">
        <v>110</v>
      </c>
      <c r="F94" s="23">
        <v>2.0</v>
      </c>
      <c r="G94" s="33">
        <v>1.0</v>
      </c>
      <c r="H94" s="20" t="s">
        <v>324</v>
      </c>
      <c r="I94" s="32" t="s">
        <v>28</v>
      </c>
      <c r="J94" s="20" t="s">
        <v>25</v>
      </c>
    </row>
    <row r="95" ht="15.75" customHeight="1">
      <c r="A95" s="31" t="s">
        <v>325</v>
      </c>
      <c r="B95" s="31" t="s">
        <v>41</v>
      </c>
      <c r="C95" s="31" t="s">
        <v>326</v>
      </c>
      <c r="D95" s="34" t="s">
        <v>50</v>
      </c>
      <c r="E95" s="32" t="s">
        <v>24</v>
      </c>
      <c r="F95" s="30">
        <v>2.0</v>
      </c>
      <c r="G95" s="33">
        <v>2.0</v>
      </c>
      <c r="H95" s="31" t="s">
        <v>327</v>
      </c>
      <c r="I95" s="32" t="s">
        <v>28</v>
      </c>
      <c r="J95" s="31" t="s">
        <v>25</v>
      </c>
    </row>
    <row r="96" ht="15.75" customHeight="1">
      <c r="A96" s="11" t="s">
        <v>328</v>
      </c>
      <c r="B96" s="11" t="s">
        <v>32</v>
      </c>
      <c r="C96" s="11" t="s">
        <v>329</v>
      </c>
      <c r="D96" s="12" t="s">
        <v>50</v>
      </c>
      <c r="E96" s="13" t="s">
        <v>24</v>
      </c>
      <c r="F96" s="15">
        <f t="shared" ref="F96:G96" si="22">SUM(F97:F101)</f>
        <v>8</v>
      </c>
      <c r="G96" s="15">
        <f t="shared" si="22"/>
        <v>8</v>
      </c>
      <c r="H96" s="11" t="s">
        <v>330</v>
      </c>
      <c r="I96" s="28" t="s">
        <v>28</v>
      </c>
      <c r="J96" s="11" t="s">
        <v>25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ht="15.75" customHeight="1">
      <c r="A97" s="20" t="s">
        <v>331</v>
      </c>
      <c r="B97" s="20" t="s">
        <v>41</v>
      </c>
      <c r="C97" s="20" t="s">
        <v>332</v>
      </c>
      <c r="D97" s="21" t="s">
        <v>50</v>
      </c>
      <c r="E97" s="22" t="s">
        <v>24</v>
      </c>
      <c r="F97" s="23">
        <v>3.0</v>
      </c>
      <c r="G97" s="30">
        <v>2.0</v>
      </c>
      <c r="H97" s="20" t="s">
        <v>333</v>
      </c>
      <c r="I97" s="32" t="s">
        <v>28</v>
      </c>
      <c r="J97" s="20" t="s">
        <v>25</v>
      </c>
    </row>
    <row r="98" ht="15.75" customHeight="1">
      <c r="A98" s="20" t="s">
        <v>334</v>
      </c>
      <c r="B98" s="20" t="s">
        <v>41</v>
      </c>
      <c r="C98" s="20" t="s">
        <v>335</v>
      </c>
      <c r="D98" s="21" t="s">
        <v>50</v>
      </c>
      <c r="E98" s="22" t="s">
        <v>24</v>
      </c>
      <c r="F98" s="23">
        <v>2.0</v>
      </c>
      <c r="G98" s="30">
        <v>2.0</v>
      </c>
      <c r="H98" s="20" t="s">
        <v>336</v>
      </c>
      <c r="I98" s="32" t="s">
        <v>28</v>
      </c>
      <c r="J98" s="20" t="s">
        <v>25</v>
      </c>
    </row>
    <row r="99" ht="15.75" customHeight="1">
      <c r="A99" s="20" t="s">
        <v>337</v>
      </c>
      <c r="B99" s="20" t="s">
        <v>41</v>
      </c>
      <c r="C99" s="20" t="s">
        <v>338</v>
      </c>
      <c r="D99" s="21" t="s">
        <v>50</v>
      </c>
      <c r="E99" s="22" t="s">
        <v>24</v>
      </c>
      <c r="F99" s="23">
        <v>1.0</v>
      </c>
      <c r="G99" s="30">
        <v>1.0</v>
      </c>
      <c r="H99" s="20" t="s">
        <v>339</v>
      </c>
      <c r="I99" s="32" t="s">
        <v>28</v>
      </c>
      <c r="J99" s="20" t="s">
        <v>25</v>
      </c>
    </row>
    <row r="100" ht="15.75" customHeight="1">
      <c r="A100" s="20" t="s">
        <v>340</v>
      </c>
      <c r="B100" s="20" t="s">
        <v>41</v>
      </c>
      <c r="C100" s="20" t="s">
        <v>341</v>
      </c>
      <c r="D100" s="21" t="s">
        <v>99</v>
      </c>
      <c r="E100" s="22" t="s">
        <v>24</v>
      </c>
      <c r="F100" s="23">
        <v>1.0</v>
      </c>
      <c r="G100" s="30">
        <v>1.0</v>
      </c>
      <c r="H100" s="20" t="s">
        <v>342</v>
      </c>
      <c r="I100" s="32" t="s">
        <v>28</v>
      </c>
      <c r="J100" s="20" t="s">
        <v>25</v>
      </c>
    </row>
    <row r="101" ht="15.75" customHeight="1">
      <c r="A101" s="31" t="s">
        <v>343</v>
      </c>
      <c r="B101" s="31" t="s">
        <v>41</v>
      </c>
      <c r="C101" s="31" t="s">
        <v>344</v>
      </c>
      <c r="D101" s="34" t="s">
        <v>50</v>
      </c>
      <c r="E101" s="32" t="s">
        <v>24</v>
      </c>
      <c r="F101" s="30">
        <v>1.0</v>
      </c>
      <c r="G101" s="30">
        <v>2.0</v>
      </c>
      <c r="H101" s="31" t="s">
        <v>345</v>
      </c>
      <c r="I101" s="32" t="s">
        <v>28</v>
      </c>
      <c r="J101" s="31" t="s">
        <v>25</v>
      </c>
    </row>
    <row r="102" ht="15.75" customHeight="1">
      <c r="A102" s="11" t="s">
        <v>346</v>
      </c>
      <c r="B102" s="11" t="s">
        <v>32</v>
      </c>
      <c r="C102" s="11" t="s">
        <v>347</v>
      </c>
      <c r="D102" s="12" t="s">
        <v>99</v>
      </c>
      <c r="E102" s="13" t="s">
        <v>24</v>
      </c>
      <c r="F102" s="27">
        <v>12.0</v>
      </c>
      <c r="G102" s="15">
        <f>SUM(G103:G106)</f>
        <v>7</v>
      </c>
      <c r="H102" s="11" t="s">
        <v>348</v>
      </c>
      <c r="I102" s="28" t="s">
        <v>28</v>
      </c>
      <c r="J102" s="11" t="s">
        <v>25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ht="15.75" customHeight="1">
      <c r="A103" s="20" t="s">
        <v>349</v>
      </c>
      <c r="B103" s="20" t="s">
        <v>41</v>
      </c>
      <c r="C103" s="20" t="s">
        <v>350</v>
      </c>
      <c r="D103" s="21" t="s">
        <v>50</v>
      </c>
      <c r="E103" s="22" t="s">
        <v>24</v>
      </c>
      <c r="F103" s="23">
        <v>2.0</v>
      </c>
      <c r="G103" s="30">
        <v>1.0</v>
      </c>
      <c r="H103" s="20" t="s">
        <v>351</v>
      </c>
      <c r="I103" s="32" t="s">
        <v>28</v>
      </c>
      <c r="J103" s="20" t="s">
        <v>25</v>
      </c>
    </row>
    <row r="104" ht="15.75" customHeight="1">
      <c r="A104" s="20" t="s">
        <v>352</v>
      </c>
      <c r="B104" s="20" t="s">
        <v>41</v>
      </c>
      <c r="C104" s="20" t="s">
        <v>353</v>
      </c>
      <c r="D104" s="21" t="s">
        <v>99</v>
      </c>
      <c r="E104" s="22" t="s">
        <v>24</v>
      </c>
      <c r="F104" s="23">
        <v>3.0</v>
      </c>
      <c r="G104" s="30">
        <v>2.0</v>
      </c>
      <c r="H104" s="20" t="s">
        <v>354</v>
      </c>
      <c r="I104" s="32" t="s">
        <v>28</v>
      </c>
      <c r="J104" s="20" t="s">
        <v>25</v>
      </c>
    </row>
    <row r="105" ht="15.75" customHeight="1">
      <c r="A105" s="20" t="s">
        <v>355</v>
      </c>
      <c r="B105" s="20" t="s">
        <v>41</v>
      </c>
      <c r="C105" s="20" t="s">
        <v>356</v>
      </c>
      <c r="D105" s="21" t="s">
        <v>99</v>
      </c>
      <c r="E105" s="22" t="s">
        <v>110</v>
      </c>
      <c r="F105" s="23">
        <v>3.0</v>
      </c>
      <c r="G105" s="30">
        <v>2.0</v>
      </c>
      <c r="H105" s="31" t="s">
        <v>357</v>
      </c>
      <c r="I105" s="32" t="s">
        <v>28</v>
      </c>
      <c r="J105" s="20" t="s">
        <v>25</v>
      </c>
    </row>
    <row r="106" ht="15.75" customHeight="1">
      <c r="A106" s="31" t="s">
        <v>358</v>
      </c>
      <c r="B106" s="31" t="s">
        <v>41</v>
      </c>
      <c r="C106" s="31" t="s">
        <v>359</v>
      </c>
      <c r="D106" s="34" t="s">
        <v>99</v>
      </c>
      <c r="E106" s="32" t="s">
        <v>24</v>
      </c>
      <c r="F106" s="30">
        <v>2.0</v>
      </c>
      <c r="G106" s="30">
        <v>2.0</v>
      </c>
      <c r="H106" s="31" t="s">
        <v>360</v>
      </c>
      <c r="I106" s="32" t="s">
        <v>28</v>
      </c>
      <c r="J106" s="31" t="s">
        <v>25</v>
      </c>
    </row>
    <row r="107" ht="15.75" customHeight="1">
      <c r="A107" s="31" t="s">
        <v>361</v>
      </c>
      <c r="B107" s="31" t="s">
        <v>41</v>
      </c>
      <c r="C107" s="31" t="s">
        <v>362</v>
      </c>
      <c r="D107" s="34" t="s">
        <v>99</v>
      </c>
      <c r="E107" s="32" t="s">
        <v>24</v>
      </c>
      <c r="F107" s="30">
        <v>2.0</v>
      </c>
      <c r="G107" s="30">
        <v>2.0</v>
      </c>
      <c r="H107" s="31" t="s">
        <v>363</v>
      </c>
      <c r="I107" s="32" t="s">
        <v>28</v>
      </c>
      <c r="J107" s="31" t="s">
        <v>25</v>
      </c>
    </row>
    <row r="108" ht="15.75" customHeight="1">
      <c r="A108" s="11" t="s">
        <v>364</v>
      </c>
      <c r="B108" s="11" t="s">
        <v>32</v>
      </c>
      <c r="C108" s="29" t="s">
        <v>365</v>
      </c>
      <c r="D108" s="35" t="s">
        <v>99</v>
      </c>
      <c r="E108" s="13" t="s">
        <v>24</v>
      </c>
      <c r="F108" s="26">
        <f t="shared" ref="F108:G108" si="23">SUM(F109)</f>
        <v>6</v>
      </c>
      <c r="G108" s="15">
        <f t="shared" si="23"/>
        <v>4</v>
      </c>
      <c r="H108" s="11" t="s">
        <v>366</v>
      </c>
      <c r="I108" s="28" t="s">
        <v>28</v>
      </c>
      <c r="J108" s="11" t="s">
        <v>25</v>
      </c>
    </row>
    <row r="109" ht="15.75" customHeight="1">
      <c r="A109" s="31" t="s">
        <v>367</v>
      </c>
      <c r="B109" s="31" t="s">
        <v>41</v>
      </c>
      <c r="C109" s="31" t="s">
        <v>368</v>
      </c>
      <c r="D109" s="34" t="s">
        <v>99</v>
      </c>
      <c r="E109" s="32" t="s">
        <v>24</v>
      </c>
      <c r="F109" s="30">
        <v>6.0</v>
      </c>
      <c r="G109" s="30">
        <v>4.0</v>
      </c>
      <c r="H109" s="31" t="s">
        <v>369</v>
      </c>
      <c r="I109" s="32" t="s">
        <v>28</v>
      </c>
      <c r="J109" s="31" t="s">
        <v>25</v>
      </c>
    </row>
    <row r="110" ht="15.75" customHeight="1">
      <c r="A110" s="29" t="s">
        <v>370</v>
      </c>
      <c r="B110" s="29" t="s">
        <v>32</v>
      </c>
      <c r="C110" s="29" t="s">
        <v>371</v>
      </c>
      <c r="D110" s="36" t="s">
        <v>99</v>
      </c>
      <c r="E110" s="28" t="s">
        <v>24</v>
      </c>
      <c r="F110" s="27">
        <v>5.0</v>
      </c>
      <c r="G110" s="37">
        <v>3.0</v>
      </c>
      <c r="H110" s="29" t="s">
        <v>372</v>
      </c>
      <c r="I110" s="28" t="s">
        <v>28</v>
      </c>
      <c r="J110" s="29" t="s">
        <v>25</v>
      </c>
    </row>
    <row r="111" ht="15.75" customHeight="1">
      <c r="A111" s="31" t="s">
        <v>373</v>
      </c>
      <c r="B111" s="31" t="s">
        <v>41</v>
      </c>
      <c r="C111" s="31" t="s">
        <v>374</v>
      </c>
      <c r="D111" s="34" t="s">
        <v>99</v>
      </c>
      <c r="E111" s="32" t="s">
        <v>24</v>
      </c>
      <c r="F111" s="30">
        <v>2.0</v>
      </c>
      <c r="G111" s="30">
        <v>1.0</v>
      </c>
      <c r="H111" s="31" t="s">
        <v>375</v>
      </c>
      <c r="I111" s="32" t="s">
        <v>28</v>
      </c>
      <c r="J111" s="31" t="s">
        <v>25</v>
      </c>
    </row>
    <row r="112" ht="15.75" customHeight="1">
      <c r="A112" s="31" t="s">
        <v>376</v>
      </c>
      <c r="B112" s="31" t="s">
        <v>41</v>
      </c>
      <c r="C112" s="31" t="s">
        <v>377</v>
      </c>
      <c r="D112" s="34" t="s">
        <v>99</v>
      </c>
      <c r="E112" s="32" t="s">
        <v>24</v>
      </c>
      <c r="F112" s="30">
        <v>2.0</v>
      </c>
      <c r="G112" s="30">
        <v>1.0</v>
      </c>
      <c r="H112" s="31" t="s">
        <v>378</v>
      </c>
      <c r="I112" s="32" t="s">
        <v>28</v>
      </c>
      <c r="J112" s="31" t="s">
        <v>25</v>
      </c>
    </row>
    <row r="113" ht="15.75" customHeight="1">
      <c r="A113" s="31" t="s">
        <v>379</v>
      </c>
      <c r="B113" s="31" t="s">
        <v>41</v>
      </c>
      <c r="C113" s="31" t="s">
        <v>380</v>
      </c>
      <c r="D113" s="34" t="s">
        <v>99</v>
      </c>
      <c r="E113" s="32" t="s">
        <v>24</v>
      </c>
      <c r="F113" s="30">
        <v>1.0</v>
      </c>
      <c r="G113" s="30">
        <v>1.0</v>
      </c>
      <c r="H113" s="31" t="s">
        <v>381</v>
      </c>
      <c r="I113" s="32" t="s">
        <v>28</v>
      </c>
      <c r="J113" s="31" t="s">
        <v>25</v>
      </c>
    </row>
    <row r="114" ht="15.75" customHeight="1">
      <c r="A114" s="11" t="s">
        <v>382</v>
      </c>
      <c r="B114" s="11" t="s">
        <v>21</v>
      </c>
      <c r="C114" s="11" t="s">
        <v>383</v>
      </c>
      <c r="D114" s="12" t="s">
        <v>99</v>
      </c>
      <c r="E114" s="13" t="s">
        <v>24</v>
      </c>
      <c r="F114" s="27">
        <v>72.0</v>
      </c>
      <c r="G114" s="15">
        <f>G115+G123+G129+G134+G141</f>
        <v>28</v>
      </c>
      <c r="H114" s="11" t="s">
        <v>384</v>
      </c>
      <c r="I114" s="28" t="s">
        <v>385</v>
      </c>
      <c r="J114" s="11" t="s">
        <v>25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ht="15.75" customHeight="1">
      <c r="A115" s="11" t="s">
        <v>386</v>
      </c>
      <c r="B115" s="11" t="s">
        <v>32</v>
      </c>
      <c r="C115" s="11" t="s">
        <v>387</v>
      </c>
      <c r="D115" s="12" t="s">
        <v>50</v>
      </c>
      <c r="E115" s="13" t="s">
        <v>24</v>
      </c>
      <c r="F115" s="27">
        <v>24.0</v>
      </c>
      <c r="G115" s="26">
        <f>SUM(G116:G121)</f>
        <v>19</v>
      </c>
      <c r="H115" s="11" t="s">
        <v>388</v>
      </c>
      <c r="I115" s="28" t="s">
        <v>28</v>
      </c>
      <c r="J115" s="11" t="s">
        <v>25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ht="15.75" customHeight="1">
      <c r="A116" s="20" t="s">
        <v>389</v>
      </c>
      <c r="B116" s="20" t="s">
        <v>41</v>
      </c>
      <c r="C116" s="20" t="s">
        <v>390</v>
      </c>
      <c r="D116" s="21" t="s">
        <v>50</v>
      </c>
      <c r="E116" s="22" t="s">
        <v>24</v>
      </c>
      <c r="F116" s="23">
        <v>3.0</v>
      </c>
      <c r="G116" s="30">
        <v>2.0</v>
      </c>
      <c r="H116" s="20" t="s">
        <v>391</v>
      </c>
      <c r="I116" s="32" t="s">
        <v>28</v>
      </c>
      <c r="J116" s="20" t="s">
        <v>25</v>
      </c>
    </row>
    <row r="117" ht="15.75" customHeight="1">
      <c r="A117" s="20" t="s">
        <v>392</v>
      </c>
      <c r="B117" s="20" t="s">
        <v>41</v>
      </c>
      <c r="C117" s="20" t="s">
        <v>393</v>
      </c>
      <c r="D117" s="21" t="s">
        <v>50</v>
      </c>
      <c r="E117" s="22" t="s">
        <v>24</v>
      </c>
      <c r="F117" s="23">
        <v>6.0</v>
      </c>
      <c r="G117" s="30">
        <v>8.0</v>
      </c>
      <c r="H117" s="20" t="s">
        <v>394</v>
      </c>
      <c r="I117" s="32" t="s">
        <v>28</v>
      </c>
      <c r="J117" s="20" t="s">
        <v>25</v>
      </c>
    </row>
    <row r="118" ht="15.75" customHeight="1">
      <c r="A118" s="20" t="s">
        <v>395</v>
      </c>
      <c r="B118" s="20" t="s">
        <v>41</v>
      </c>
      <c r="C118" s="20" t="s">
        <v>396</v>
      </c>
      <c r="D118" s="21" t="s">
        <v>50</v>
      </c>
      <c r="E118" s="22" t="s">
        <v>24</v>
      </c>
      <c r="F118" s="23">
        <v>1.0</v>
      </c>
      <c r="G118" s="33">
        <v>1.0</v>
      </c>
      <c r="H118" s="20" t="s">
        <v>397</v>
      </c>
      <c r="I118" s="32" t="s">
        <v>28</v>
      </c>
      <c r="J118" s="20" t="s">
        <v>25</v>
      </c>
    </row>
    <row r="119" ht="15.75" customHeight="1">
      <c r="A119" s="20" t="s">
        <v>398</v>
      </c>
      <c r="B119" s="20" t="s">
        <v>41</v>
      </c>
      <c r="C119" s="20" t="s">
        <v>399</v>
      </c>
      <c r="D119" s="21" t="s">
        <v>99</v>
      </c>
      <c r="E119" s="22" t="s">
        <v>24</v>
      </c>
      <c r="F119" s="23">
        <v>3.0</v>
      </c>
      <c r="G119" s="30">
        <v>3.0</v>
      </c>
      <c r="H119" s="31" t="s">
        <v>400</v>
      </c>
      <c r="I119" s="32" t="s">
        <v>28</v>
      </c>
      <c r="J119" s="20" t="s">
        <v>25</v>
      </c>
    </row>
    <row r="120" ht="15.75" customHeight="1">
      <c r="A120" s="31" t="s">
        <v>401</v>
      </c>
      <c r="B120" s="31" t="s">
        <v>41</v>
      </c>
      <c r="C120" s="31" t="s">
        <v>402</v>
      </c>
      <c r="D120" s="34" t="s">
        <v>50</v>
      </c>
      <c r="E120" s="32" t="s">
        <v>24</v>
      </c>
      <c r="F120" s="30">
        <v>5.0</v>
      </c>
      <c r="G120" s="30">
        <v>3.0</v>
      </c>
      <c r="H120" s="31" t="s">
        <v>403</v>
      </c>
      <c r="I120" s="32" t="s">
        <v>28</v>
      </c>
      <c r="J120" s="31" t="s">
        <v>25</v>
      </c>
    </row>
    <row r="121" ht="15.75" customHeight="1">
      <c r="A121" s="31" t="s">
        <v>404</v>
      </c>
      <c r="B121" s="31" t="s">
        <v>41</v>
      </c>
      <c r="C121" s="31" t="s">
        <v>405</v>
      </c>
      <c r="D121" s="34" t="s">
        <v>99</v>
      </c>
      <c r="E121" s="32" t="s">
        <v>110</v>
      </c>
      <c r="F121" s="30">
        <v>3.0</v>
      </c>
      <c r="G121" s="30">
        <v>2.0</v>
      </c>
      <c r="H121" s="31" t="s">
        <v>406</v>
      </c>
      <c r="I121" s="32" t="s">
        <v>28</v>
      </c>
      <c r="J121" s="31" t="s">
        <v>25</v>
      </c>
    </row>
    <row r="122" ht="15.75" customHeight="1">
      <c r="A122" s="31" t="s">
        <v>407</v>
      </c>
      <c r="B122" s="31" t="s">
        <v>41</v>
      </c>
      <c r="C122" s="31" t="s">
        <v>408</v>
      </c>
      <c r="D122" s="34" t="s">
        <v>50</v>
      </c>
      <c r="E122" s="32" t="s">
        <v>24</v>
      </c>
      <c r="F122" s="30">
        <v>3.0</v>
      </c>
      <c r="G122" s="30">
        <v>2.0</v>
      </c>
      <c r="H122" s="31" t="s">
        <v>409</v>
      </c>
      <c r="I122" s="32" t="s">
        <v>28</v>
      </c>
      <c r="J122" s="31" t="s">
        <v>25</v>
      </c>
    </row>
    <row r="123" ht="15.75" customHeight="1">
      <c r="A123" s="11" t="s">
        <v>410</v>
      </c>
      <c r="B123" s="11" t="s">
        <v>32</v>
      </c>
      <c r="C123" s="11" t="s">
        <v>411</v>
      </c>
      <c r="D123" s="12" t="s">
        <v>99</v>
      </c>
      <c r="E123" s="13" t="s">
        <v>110</v>
      </c>
      <c r="F123" s="27">
        <v>18.0</v>
      </c>
      <c r="G123" s="26">
        <f>SUM(G124:G127)</f>
        <v>9</v>
      </c>
      <c r="H123" s="11" t="s">
        <v>412</v>
      </c>
      <c r="I123" s="28" t="s">
        <v>28</v>
      </c>
      <c r="J123" s="11" t="s">
        <v>25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ht="15.75" customHeight="1">
      <c r="A124" s="20" t="s">
        <v>413</v>
      </c>
      <c r="B124" s="20" t="s">
        <v>41</v>
      </c>
      <c r="C124" s="20" t="s">
        <v>414</v>
      </c>
      <c r="D124" s="21" t="s">
        <v>50</v>
      </c>
      <c r="E124" s="22" t="s">
        <v>110</v>
      </c>
      <c r="F124" s="23">
        <v>2.0</v>
      </c>
      <c r="G124" s="30">
        <v>1.0</v>
      </c>
      <c r="H124" s="20" t="s">
        <v>415</v>
      </c>
      <c r="I124" s="32" t="s">
        <v>28</v>
      </c>
      <c r="J124" s="20" t="s">
        <v>25</v>
      </c>
    </row>
    <row r="125" ht="15.75" customHeight="1">
      <c r="A125" s="20" t="s">
        <v>416</v>
      </c>
      <c r="B125" s="20" t="s">
        <v>41</v>
      </c>
      <c r="C125" s="20" t="s">
        <v>417</v>
      </c>
      <c r="D125" s="21" t="s">
        <v>99</v>
      </c>
      <c r="E125" s="22" t="s">
        <v>110</v>
      </c>
      <c r="F125" s="23">
        <v>2.0</v>
      </c>
      <c r="G125" s="30">
        <v>1.0</v>
      </c>
      <c r="H125" s="20" t="s">
        <v>418</v>
      </c>
      <c r="I125" s="32" t="s">
        <v>28</v>
      </c>
      <c r="J125" s="20" t="s">
        <v>25</v>
      </c>
    </row>
    <row r="126" ht="15.75" customHeight="1">
      <c r="A126" s="20" t="s">
        <v>419</v>
      </c>
      <c r="B126" s="20" t="s">
        <v>41</v>
      </c>
      <c r="C126" s="20" t="s">
        <v>420</v>
      </c>
      <c r="D126" s="21" t="s">
        <v>99</v>
      </c>
      <c r="E126" s="22" t="s">
        <v>24</v>
      </c>
      <c r="F126" s="23">
        <v>10.0</v>
      </c>
      <c r="G126" s="33">
        <v>6.0</v>
      </c>
      <c r="H126" s="31" t="s">
        <v>421</v>
      </c>
      <c r="I126" s="32" t="s">
        <v>28</v>
      </c>
      <c r="J126" s="20" t="s">
        <v>25</v>
      </c>
    </row>
    <row r="127" ht="15.75" customHeight="1">
      <c r="A127" s="31" t="s">
        <v>422</v>
      </c>
      <c r="B127" s="31" t="s">
        <v>41</v>
      </c>
      <c r="C127" s="31" t="s">
        <v>423</v>
      </c>
      <c r="D127" s="34" t="s">
        <v>169</v>
      </c>
      <c r="E127" s="32" t="s">
        <v>110</v>
      </c>
      <c r="F127" s="30">
        <v>2.0</v>
      </c>
      <c r="G127" s="33">
        <v>1.0</v>
      </c>
      <c r="H127" s="31" t="s">
        <v>424</v>
      </c>
      <c r="I127" s="32" t="s">
        <v>28</v>
      </c>
      <c r="J127" s="31" t="s">
        <v>25</v>
      </c>
    </row>
    <row r="128" ht="15.75" customHeight="1">
      <c r="A128" s="31" t="s">
        <v>425</v>
      </c>
      <c r="B128" s="31" t="s">
        <v>41</v>
      </c>
      <c r="C128" s="31" t="s">
        <v>426</v>
      </c>
      <c r="D128" s="34" t="s">
        <v>50</v>
      </c>
      <c r="E128" s="32" t="s">
        <v>110</v>
      </c>
      <c r="F128" s="30">
        <v>2.0</v>
      </c>
      <c r="G128" s="33">
        <v>1.0</v>
      </c>
      <c r="H128" s="31" t="s">
        <v>427</v>
      </c>
      <c r="I128" s="32" t="s">
        <v>28</v>
      </c>
      <c r="J128" s="31" t="s">
        <v>25</v>
      </c>
    </row>
    <row r="129" ht="15.75" customHeight="1">
      <c r="A129" s="11" t="s">
        <v>428</v>
      </c>
      <c r="B129" s="11" t="s">
        <v>32</v>
      </c>
      <c r="C129" s="11" t="s">
        <v>429</v>
      </c>
      <c r="D129" s="12" t="s">
        <v>126</v>
      </c>
      <c r="E129" s="13" t="s">
        <v>24</v>
      </c>
      <c r="F129" s="15">
        <f t="shared" ref="F129:G129" si="24">SUM(F130:F133)</f>
        <v>8</v>
      </c>
      <c r="G129" s="15">
        <f t="shared" si="24"/>
        <v>0</v>
      </c>
      <c r="H129" s="11" t="s">
        <v>430</v>
      </c>
      <c r="I129" s="13" t="s">
        <v>431</v>
      </c>
      <c r="J129" s="11" t="s">
        <v>25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ht="15.75" customHeight="1">
      <c r="A130" s="20" t="s">
        <v>432</v>
      </c>
      <c r="B130" s="20" t="s">
        <v>41</v>
      </c>
      <c r="C130" s="20" t="s">
        <v>433</v>
      </c>
      <c r="D130" s="21" t="s">
        <v>89</v>
      </c>
      <c r="E130" s="22" t="s">
        <v>24</v>
      </c>
      <c r="F130" s="30">
        <v>2.0</v>
      </c>
      <c r="G130" s="23"/>
      <c r="H130" s="20" t="s">
        <v>434</v>
      </c>
      <c r="I130" s="22" t="s">
        <v>431</v>
      </c>
      <c r="J130" s="20" t="s">
        <v>25</v>
      </c>
    </row>
    <row r="131" ht="15.75" customHeight="1">
      <c r="A131" s="20" t="s">
        <v>435</v>
      </c>
      <c r="B131" s="20" t="s">
        <v>41</v>
      </c>
      <c r="C131" s="20" t="s">
        <v>436</v>
      </c>
      <c r="D131" s="21" t="s">
        <v>50</v>
      </c>
      <c r="E131" s="22" t="s">
        <v>24</v>
      </c>
      <c r="F131" s="30">
        <v>2.0</v>
      </c>
      <c r="G131" s="23"/>
      <c r="H131" s="20" t="s">
        <v>437</v>
      </c>
      <c r="I131" s="22" t="s">
        <v>431</v>
      </c>
      <c r="J131" s="20" t="s">
        <v>25</v>
      </c>
    </row>
    <row r="132" ht="15.75" customHeight="1">
      <c r="A132" s="20" t="s">
        <v>438</v>
      </c>
      <c r="B132" s="20" t="s">
        <v>41</v>
      </c>
      <c r="C132" s="20" t="s">
        <v>439</v>
      </c>
      <c r="D132" s="21" t="s">
        <v>99</v>
      </c>
      <c r="E132" s="22" t="s">
        <v>24</v>
      </c>
      <c r="F132" s="30">
        <v>2.0</v>
      </c>
      <c r="G132" s="23"/>
      <c r="H132" s="20" t="s">
        <v>440</v>
      </c>
      <c r="I132" s="22" t="s">
        <v>431</v>
      </c>
      <c r="J132" s="20" t="s">
        <v>25</v>
      </c>
    </row>
    <row r="133" ht="15.75" customHeight="1">
      <c r="A133" s="31" t="s">
        <v>441</v>
      </c>
      <c r="B133" s="31" t="s">
        <v>41</v>
      </c>
      <c r="C133" s="31" t="s">
        <v>442</v>
      </c>
      <c r="D133" s="34" t="s">
        <v>43</v>
      </c>
      <c r="E133" s="32" t="s">
        <v>24</v>
      </c>
      <c r="F133" s="30">
        <v>2.0</v>
      </c>
      <c r="G133" s="23"/>
      <c r="H133" s="31" t="s">
        <v>443</v>
      </c>
      <c r="I133" s="32" t="s">
        <v>431</v>
      </c>
      <c r="J133" s="31" t="s">
        <v>25</v>
      </c>
    </row>
    <row r="134" ht="15.75" customHeight="1">
      <c r="A134" s="11" t="s">
        <v>444</v>
      </c>
      <c r="B134" s="11" t="s">
        <v>32</v>
      </c>
      <c r="C134" s="11" t="s">
        <v>445</v>
      </c>
      <c r="D134" s="12" t="s">
        <v>126</v>
      </c>
      <c r="E134" s="13" t="s">
        <v>110</v>
      </c>
      <c r="F134" s="27">
        <v>14.0</v>
      </c>
      <c r="G134" s="15">
        <f>SUM(G135:G138)</f>
        <v>0</v>
      </c>
      <c r="H134" s="11" t="s">
        <v>446</v>
      </c>
      <c r="I134" s="13" t="s">
        <v>431</v>
      </c>
      <c r="J134" s="11" t="s">
        <v>25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ht="15.75" customHeight="1">
      <c r="A135" s="20" t="s">
        <v>447</v>
      </c>
      <c r="B135" s="20" t="s">
        <v>41</v>
      </c>
      <c r="C135" s="20" t="s">
        <v>448</v>
      </c>
      <c r="D135" s="21" t="s">
        <v>89</v>
      </c>
      <c r="E135" s="22" t="s">
        <v>110</v>
      </c>
      <c r="F135" s="23">
        <v>3.0</v>
      </c>
      <c r="G135" s="23"/>
      <c r="H135" s="20" t="s">
        <v>449</v>
      </c>
      <c r="I135" s="22" t="s">
        <v>431</v>
      </c>
      <c r="J135" s="20" t="s">
        <v>25</v>
      </c>
    </row>
    <row r="136" ht="15.75" customHeight="1">
      <c r="A136" s="20" t="s">
        <v>450</v>
      </c>
      <c r="B136" s="20" t="s">
        <v>41</v>
      </c>
      <c r="C136" s="31" t="s">
        <v>451</v>
      </c>
      <c r="D136" s="21" t="s">
        <v>89</v>
      </c>
      <c r="E136" s="22" t="s">
        <v>110</v>
      </c>
      <c r="F136" s="23">
        <v>3.0</v>
      </c>
      <c r="G136" s="23"/>
      <c r="H136" s="20" t="s">
        <v>452</v>
      </c>
      <c r="I136" s="22" t="s">
        <v>431</v>
      </c>
      <c r="J136" s="20" t="s">
        <v>25</v>
      </c>
    </row>
    <row r="137" ht="15.75" customHeight="1">
      <c r="A137" s="20" t="s">
        <v>453</v>
      </c>
      <c r="B137" s="20" t="s">
        <v>41</v>
      </c>
      <c r="C137" s="20" t="s">
        <v>454</v>
      </c>
      <c r="D137" s="21" t="s">
        <v>50</v>
      </c>
      <c r="E137" s="22" t="s">
        <v>110</v>
      </c>
      <c r="F137" s="23">
        <v>3.0</v>
      </c>
      <c r="G137" s="23"/>
      <c r="H137" s="31" t="s">
        <v>455</v>
      </c>
      <c r="I137" s="22" t="s">
        <v>431</v>
      </c>
      <c r="J137" s="20" t="s">
        <v>25</v>
      </c>
    </row>
    <row r="138" ht="15.75" customHeight="1">
      <c r="A138" s="20" t="s">
        <v>456</v>
      </c>
      <c r="B138" s="20" t="s">
        <v>41</v>
      </c>
      <c r="C138" s="20" t="s">
        <v>457</v>
      </c>
      <c r="D138" s="21" t="s">
        <v>126</v>
      </c>
      <c r="E138" s="22" t="s">
        <v>110</v>
      </c>
      <c r="F138" s="23">
        <v>2.0</v>
      </c>
      <c r="G138" s="25"/>
      <c r="H138" s="20" t="s">
        <v>458</v>
      </c>
      <c r="I138" s="22" t="s">
        <v>431</v>
      </c>
      <c r="J138" s="20" t="s">
        <v>25</v>
      </c>
    </row>
    <row r="139" ht="15.75" customHeight="1">
      <c r="A139" s="31" t="s">
        <v>459</v>
      </c>
      <c r="B139" s="31" t="s">
        <v>41</v>
      </c>
      <c r="C139" s="31" t="s">
        <v>460</v>
      </c>
      <c r="D139" s="34" t="s">
        <v>99</v>
      </c>
      <c r="E139" s="32" t="s">
        <v>110</v>
      </c>
      <c r="F139" s="30">
        <v>1.0</v>
      </c>
      <c r="G139" s="25"/>
      <c r="H139" s="31" t="s">
        <v>461</v>
      </c>
      <c r="I139" s="32" t="s">
        <v>431</v>
      </c>
      <c r="J139" s="31" t="s">
        <v>25</v>
      </c>
    </row>
    <row r="140" ht="15.75" customHeight="1">
      <c r="A140" s="31" t="s">
        <v>462</v>
      </c>
      <c r="B140" s="31" t="s">
        <v>41</v>
      </c>
      <c r="C140" s="31" t="s">
        <v>463</v>
      </c>
      <c r="D140" s="34" t="s">
        <v>99</v>
      </c>
      <c r="E140" s="32" t="s">
        <v>110</v>
      </c>
      <c r="F140" s="30">
        <v>2.0</v>
      </c>
      <c r="G140" s="25"/>
      <c r="H140" s="31" t="s">
        <v>464</v>
      </c>
      <c r="I140" s="32" t="s">
        <v>431</v>
      </c>
      <c r="J140" s="31" t="s">
        <v>25</v>
      </c>
    </row>
    <row r="141" ht="15.75" customHeight="1">
      <c r="A141" s="11" t="s">
        <v>465</v>
      </c>
      <c r="B141" s="11" t="s">
        <v>32</v>
      </c>
      <c r="C141" s="11" t="s">
        <v>466</v>
      </c>
      <c r="D141" s="35" t="s">
        <v>59</v>
      </c>
      <c r="E141" s="13" t="s">
        <v>110</v>
      </c>
      <c r="F141" s="26">
        <f t="shared" ref="F141:G141" si="25">SUM(F142:F143)</f>
        <v>4</v>
      </c>
      <c r="G141" s="15">
        <f t="shared" si="25"/>
        <v>0</v>
      </c>
      <c r="H141" s="11" t="s">
        <v>467</v>
      </c>
      <c r="I141" s="28" t="s">
        <v>385</v>
      </c>
      <c r="J141" s="11" t="s">
        <v>25</v>
      </c>
    </row>
    <row r="142" ht="15.75" customHeight="1">
      <c r="A142" s="31" t="s">
        <v>468</v>
      </c>
      <c r="B142" s="31" t="s">
        <v>41</v>
      </c>
      <c r="C142" s="31" t="s">
        <v>469</v>
      </c>
      <c r="D142" s="34" t="s">
        <v>59</v>
      </c>
      <c r="E142" s="32" t="s">
        <v>110</v>
      </c>
      <c r="F142" s="30">
        <v>2.0</v>
      </c>
      <c r="G142" s="25"/>
      <c r="H142" s="31" t="s">
        <v>470</v>
      </c>
      <c r="I142" s="32" t="s">
        <v>385</v>
      </c>
      <c r="J142" s="31" t="s">
        <v>25</v>
      </c>
    </row>
    <row r="143" ht="15.75" customHeight="1">
      <c r="A143" s="31" t="s">
        <v>471</v>
      </c>
      <c r="B143" s="31" t="s">
        <v>41</v>
      </c>
      <c r="C143" s="31" t="s">
        <v>472</v>
      </c>
      <c r="D143" s="34" t="s">
        <v>59</v>
      </c>
      <c r="E143" s="32" t="s">
        <v>110</v>
      </c>
      <c r="F143" s="30">
        <v>2.0</v>
      </c>
      <c r="G143" s="25"/>
      <c r="H143" s="31" t="s">
        <v>473</v>
      </c>
      <c r="I143" s="32" t="s">
        <v>431</v>
      </c>
      <c r="J143" s="31" t="s">
        <v>25</v>
      </c>
    </row>
    <row r="144" ht="15.75" customHeight="1">
      <c r="A144" s="11" t="s">
        <v>474</v>
      </c>
      <c r="B144" s="11" t="s">
        <v>21</v>
      </c>
      <c r="C144" s="11" t="s">
        <v>475</v>
      </c>
      <c r="D144" s="12" t="s">
        <v>99</v>
      </c>
      <c r="E144" s="13" t="s">
        <v>24</v>
      </c>
      <c r="F144" s="26">
        <f t="shared" ref="F144:G144" si="26">F145+F150+F154+F160</f>
        <v>62</v>
      </c>
      <c r="G144" s="26">
        <f t="shared" si="26"/>
        <v>0</v>
      </c>
      <c r="H144" s="11" t="s">
        <v>476</v>
      </c>
      <c r="I144" s="13" t="s">
        <v>431</v>
      </c>
      <c r="J144" s="11" t="s">
        <v>29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ht="15.75" customHeight="1">
      <c r="A145" s="11" t="s">
        <v>477</v>
      </c>
      <c r="B145" s="11" t="s">
        <v>32</v>
      </c>
      <c r="C145" s="11" t="s">
        <v>478</v>
      </c>
      <c r="D145" s="12" t="s">
        <v>50</v>
      </c>
      <c r="E145" s="13" t="s">
        <v>24</v>
      </c>
      <c r="F145" s="26">
        <f t="shared" ref="F145:G145" si="27">SUM(F146:F148)</f>
        <v>25</v>
      </c>
      <c r="G145" s="26">
        <f t="shared" si="27"/>
        <v>0</v>
      </c>
      <c r="H145" s="11" t="s">
        <v>479</v>
      </c>
      <c r="I145" s="13" t="s">
        <v>431</v>
      </c>
      <c r="J145" s="11" t="s">
        <v>29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ht="15.75" customHeight="1">
      <c r="A146" s="20" t="s">
        <v>480</v>
      </c>
      <c r="B146" s="20" t="s">
        <v>41</v>
      </c>
      <c r="C146" s="20" t="s">
        <v>481</v>
      </c>
      <c r="D146" s="21" t="s">
        <v>50</v>
      </c>
      <c r="E146" s="22" t="s">
        <v>24</v>
      </c>
      <c r="F146" s="23">
        <v>10.0</v>
      </c>
      <c r="G146" s="23"/>
      <c r="H146" s="31" t="s">
        <v>482</v>
      </c>
      <c r="I146" s="22" t="s">
        <v>431</v>
      </c>
      <c r="J146" s="20" t="s">
        <v>29</v>
      </c>
    </row>
    <row r="147" ht="15.75" customHeight="1">
      <c r="A147" s="20" t="s">
        <v>483</v>
      </c>
      <c r="B147" s="20" t="s">
        <v>41</v>
      </c>
      <c r="C147" s="20" t="s">
        <v>484</v>
      </c>
      <c r="D147" s="21" t="s">
        <v>50</v>
      </c>
      <c r="E147" s="22" t="s">
        <v>24</v>
      </c>
      <c r="F147" s="23">
        <v>10.0</v>
      </c>
      <c r="G147" s="23"/>
      <c r="H147" s="31" t="s">
        <v>485</v>
      </c>
      <c r="I147" s="22" t="s">
        <v>431</v>
      </c>
      <c r="J147" s="20" t="s">
        <v>29</v>
      </c>
    </row>
    <row r="148" ht="15.75" customHeight="1">
      <c r="A148" s="20" t="s">
        <v>486</v>
      </c>
      <c r="B148" s="20" t="s">
        <v>41</v>
      </c>
      <c r="C148" s="20" t="s">
        <v>487</v>
      </c>
      <c r="D148" s="21" t="s">
        <v>99</v>
      </c>
      <c r="E148" s="22" t="s">
        <v>24</v>
      </c>
      <c r="F148" s="23">
        <v>5.0</v>
      </c>
      <c r="G148" s="23"/>
      <c r="H148" s="20" t="s">
        <v>488</v>
      </c>
      <c r="I148" s="22" t="s">
        <v>431</v>
      </c>
      <c r="J148" s="20" t="s">
        <v>29</v>
      </c>
    </row>
    <row r="149" ht="15.75" customHeight="1">
      <c r="A149" s="31" t="s">
        <v>489</v>
      </c>
      <c r="B149" s="31" t="s">
        <v>41</v>
      </c>
      <c r="C149" s="31" t="s">
        <v>490</v>
      </c>
      <c r="D149" s="34" t="s">
        <v>99</v>
      </c>
      <c r="E149" s="32" t="s">
        <v>24</v>
      </c>
      <c r="F149" s="23"/>
      <c r="G149" s="23"/>
      <c r="H149" s="31" t="s">
        <v>491</v>
      </c>
      <c r="I149" s="32" t="s">
        <v>431</v>
      </c>
      <c r="J149" s="31" t="s">
        <v>29</v>
      </c>
    </row>
    <row r="150" ht="15.75" customHeight="1">
      <c r="A150" s="11" t="s">
        <v>492</v>
      </c>
      <c r="B150" s="11" t="s">
        <v>32</v>
      </c>
      <c r="C150" s="11" t="s">
        <v>493</v>
      </c>
      <c r="D150" s="12" t="s">
        <v>99</v>
      </c>
      <c r="E150" s="13" t="s">
        <v>24</v>
      </c>
      <c r="F150" s="15">
        <f t="shared" ref="F150:G150" si="28">SUM(F151:F153)</f>
        <v>12</v>
      </c>
      <c r="G150" s="15">
        <f t="shared" si="28"/>
        <v>0</v>
      </c>
      <c r="H150" s="11" t="s">
        <v>494</v>
      </c>
      <c r="I150" s="13" t="s">
        <v>431</v>
      </c>
      <c r="J150" s="11" t="s">
        <v>29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ht="15.75" customHeight="1">
      <c r="A151" s="20" t="s">
        <v>495</v>
      </c>
      <c r="B151" s="20" t="s">
        <v>41</v>
      </c>
      <c r="C151" s="20" t="s">
        <v>496</v>
      </c>
      <c r="D151" s="21" t="s">
        <v>99</v>
      </c>
      <c r="E151" s="22" t="s">
        <v>24</v>
      </c>
      <c r="F151" s="23">
        <v>4.0</v>
      </c>
      <c r="G151" s="23"/>
      <c r="H151" s="20" t="s">
        <v>497</v>
      </c>
      <c r="I151" s="22" t="s">
        <v>431</v>
      </c>
      <c r="J151" s="20" t="s">
        <v>29</v>
      </c>
    </row>
    <row r="152" ht="15.75" customHeight="1">
      <c r="A152" s="20" t="s">
        <v>498</v>
      </c>
      <c r="B152" s="20" t="s">
        <v>41</v>
      </c>
      <c r="C152" s="20" t="s">
        <v>499</v>
      </c>
      <c r="D152" s="21" t="s">
        <v>99</v>
      </c>
      <c r="E152" s="22" t="s">
        <v>24</v>
      </c>
      <c r="F152" s="23">
        <v>4.0</v>
      </c>
      <c r="G152" s="23"/>
      <c r="H152" s="20" t="s">
        <v>497</v>
      </c>
      <c r="I152" s="22" t="s">
        <v>431</v>
      </c>
      <c r="J152" s="20" t="s">
        <v>29</v>
      </c>
    </row>
    <row r="153" ht="15.75" customHeight="1">
      <c r="A153" s="20" t="s">
        <v>500</v>
      </c>
      <c r="B153" s="20" t="s">
        <v>41</v>
      </c>
      <c r="C153" s="20" t="s">
        <v>501</v>
      </c>
      <c r="D153" s="21" t="s">
        <v>169</v>
      </c>
      <c r="E153" s="22" t="s">
        <v>24</v>
      </c>
      <c r="F153" s="23">
        <v>4.0</v>
      </c>
      <c r="G153" s="25"/>
      <c r="H153" s="20" t="s">
        <v>502</v>
      </c>
      <c r="I153" s="22" t="s">
        <v>431</v>
      </c>
      <c r="J153" s="20" t="s">
        <v>29</v>
      </c>
    </row>
    <row r="154" ht="15.75" customHeight="1">
      <c r="A154" s="11" t="s">
        <v>503</v>
      </c>
      <c r="B154" s="11" t="s">
        <v>32</v>
      </c>
      <c r="C154" s="11" t="s">
        <v>504</v>
      </c>
      <c r="D154" s="12" t="s">
        <v>99</v>
      </c>
      <c r="E154" s="13" t="s">
        <v>24</v>
      </c>
      <c r="F154" s="15">
        <f t="shared" ref="F154:G154" si="29">SUM(F155:F159)</f>
        <v>19</v>
      </c>
      <c r="G154" s="15">
        <f t="shared" si="29"/>
        <v>0</v>
      </c>
      <c r="H154" s="11" t="s">
        <v>505</v>
      </c>
      <c r="I154" s="13" t="s">
        <v>431</v>
      </c>
      <c r="J154" s="11" t="s">
        <v>29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ht="15.75" customHeight="1">
      <c r="A155" s="20" t="s">
        <v>506</v>
      </c>
      <c r="B155" s="20" t="s">
        <v>41</v>
      </c>
      <c r="C155" s="20" t="s">
        <v>507</v>
      </c>
      <c r="D155" s="21" t="s">
        <v>99</v>
      </c>
      <c r="E155" s="22" t="s">
        <v>24</v>
      </c>
      <c r="F155" s="23">
        <v>4.0</v>
      </c>
      <c r="G155" s="23"/>
      <c r="H155" s="20" t="s">
        <v>508</v>
      </c>
      <c r="I155" s="22" t="s">
        <v>431</v>
      </c>
      <c r="J155" s="20" t="s">
        <v>29</v>
      </c>
    </row>
    <row r="156" ht="15.75" customHeight="1">
      <c r="A156" s="20" t="s">
        <v>509</v>
      </c>
      <c r="B156" s="20" t="s">
        <v>41</v>
      </c>
      <c r="C156" s="20" t="s">
        <v>510</v>
      </c>
      <c r="D156" s="21" t="s">
        <v>50</v>
      </c>
      <c r="E156" s="22" t="s">
        <v>24</v>
      </c>
      <c r="F156" s="23">
        <v>4.0</v>
      </c>
      <c r="G156" s="23"/>
      <c r="H156" s="20" t="s">
        <v>511</v>
      </c>
      <c r="I156" s="22" t="s">
        <v>431</v>
      </c>
      <c r="J156" s="20" t="s">
        <v>29</v>
      </c>
    </row>
    <row r="157" ht="15.75" customHeight="1">
      <c r="A157" s="20" t="s">
        <v>512</v>
      </c>
      <c r="B157" s="20" t="s">
        <v>41</v>
      </c>
      <c r="C157" s="20" t="s">
        <v>513</v>
      </c>
      <c r="D157" s="21" t="s">
        <v>99</v>
      </c>
      <c r="E157" s="22" t="s">
        <v>24</v>
      </c>
      <c r="F157" s="23">
        <v>4.0</v>
      </c>
      <c r="G157" s="23"/>
      <c r="H157" s="20" t="s">
        <v>514</v>
      </c>
      <c r="I157" s="22" t="s">
        <v>431</v>
      </c>
      <c r="J157" s="20" t="s">
        <v>29</v>
      </c>
    </row>
    <row r="158" ht="15.75" customHeight="1">
      <c r="A158" s="20" t="s">
        <v>515</v>
      </c>
      <c r="B158" s="20" t="s">
        <v>41</v>
      </c>
      <c r="C158" s="20" t="s">
        <v>516</v>
      </c>
      <c r="D158" s="21" t="s">
        <v>169</v>
      </c>
      <c r="E158" s="22" t="s">
        <v>24</v>
      </c>
      <c r="F158" s="23">
        <v>4.0</v>
      </c>
      <c r="G158" s="25"/>
      <c r="H158" s="31" t="s">
        <v>517</v>
      </c>
      <c r="I158" s="22" t="s">
        <v>431</v>
      </c>
      <c r="J158" s="20" t="s">
        <v>29</v>
      </c>
    </row>
    <row r="159" ht="15.75" customHeight="1">
      <c r="A159" s="20" t="s">
        <v>518</v>
      </c>
      <c r="B159" s="20" t="s">
        <v>41</v>
      </c>
      <c r="C159" s="20" t="s">
        <v>519</v>
      </c>
      <c r="D159" s="21" t="s">
        <v>99</v>
      </c>
      <c r="E159" s="22" t="s">
        <v>24</v>
      </c>
      <c r="F159" s="23">
        <v>3.0</v>
      </c>
      <c r="G159" s="23"/>
      <c r="H159" s="20" t="s">
        <v>520</v>
      </c>
      <c r="I159" s="22" t="s">
        <v>431</v>
      </c>
      <c r="J159" s="20" t="s">
        <v>29</v>
      </c>
    </row>
    <row r="160" ht="15.75" customHeight="1">
      <c r="A160" s="11" t="s">
        <v>521</v>
      </c>
      <c r="B160" s="11" t="s">
        <v>32</v>
      </c>
      <c r="C160" s="11" t="s">
        <v>522</v>
      </c>
      <c r="D160" s="12" t="s">
        <v>126</v>
      </c>
      <c r="E160" s="13" t="s">
        <v>24</v>
      </c>
      <c r="F160" s="26">
        <f t="shared" ref="F160:G160" si="30">SUM(F161:F162)</f>
        <v>6</v>
      </c>
      <c r="G160" s="26">
        <f t="shared" si="30"/>
        <v>0</v>
      </c>
      <c r="H160" s="11" t="s">
        <v>523</v>
      </c>
      <c r="I160" s="13" t="s">
        <v>431</v>
      </c>
      <c r="J160" s="11" t="s">
        <v>29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ht="15.75" customHeight="1">
      <c r="A161" s="20" t="s">
        <v>524</v>
      </c>
      <c r="B161" s="20" t="s">
        <v>41</v>
      </c>
      <c r="C161" s="20" t="s">
        <v>525</v>
      </c>
      <c r="D161" s="21" t="s">
        <v>195</v>
      </c>
      <c r="E161" s="22" t="s">
        <v>24</v>
      </c>
      <c r="F161" s="23">
        <v>3.0</v>
      </c>
      <c r="G161" s="25"/>
      <c r="H161" s="20" t="s">
        <v>526</v>
      </c>
      <c r="I161" s="22" t="s">
        <v>431</v>
      </c>
      <c r="J161" s="20" t="s">
        <v>29</v>
      </c>
    </row>
    <row r="162" ht="15.75" customHeight="1">
      <c r="A162" s="20" t="s">
        <v>527</v>
      </c>
      <c r="B162" s="20" t="s">
        <v>41</v>
      </c>
      <c r="C162" s="20" t="s">
        <v>528</v>
      </c>
      <c r="D162" s="21" t="s">
        <v>126</v>
      </c>
      <c r="E162" s="22" t="s">
        <v>24</v>
      </c>
      <c r="F162" s="23">
        <v>3.0</v>
      </c>
      <c r="G162" s="23"/>
      <c r="H162" s="20" t="s">
        <v>529</v>
      </c>
      <c r="I162" s="22" t="s">
        <v>431</v>
      </c>
      <c r="J162" s="20" t="s">
        <v>29</v>
      </c>
    </row>
    <row r="163" ht="15.75" customHeight="1">
      <c r="A163" s="11" t="s">
        <v>530</v>
      </c>
      <c r="B163" s="11" t="s">
        <v>21</v>
      </c>
      <c r="C163" s="11" t="s">
        <v>531</v>
      </c>
      <c r="D163" s="12" t="s">
        <v>532</v>
      </c>
      <c r="E163" s="13" t="s">
        <v>24</v>
      </c>
      <c r="F163" s="26">
        <f t="shared" ref="F163:G163" si="31">F164+F168+F171+F174</f>
        <v>60</v>
      </c>
      <c r="G163" s="26">
        <f t="shared" si="31"/>
        <v>0</v>
      </c>
      <c r="H163" s="11" t="s">
        <v>533</v>
      </c>
      <c r="I163" s="13" t="s">
        <v>431</v>
      </c>
      <c r="J163" s="11" t="s">
        <v>29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ht="15.75" customHeight="1">
      <c r="A164" s="11" t="s">
        <v>534</v>
      </c>
      <c r="B164" s="11" t="s">
        <v>32</v>
      </c>
      <c r="C164" s="11" t="s">
        <v>535</v>
      </c>
      <c r="D164" s="12" t="s">
        <v>99</v>
      </c>
      <c r="E164" s="13" t="s">
        <v>24</v>
      </c>
      <c r="F164" s="15">
        <f t="shared" ref="F164:G164" si="32">SUM(F165:F167)</f>
        <v>12</v>
      </c>
      <c r="G164" s="15">
        <f t="shared" si="32"/>
        <v>0</v>
      </c>
      <c r="H164" s="11" t="s">
        <v>536</v>
      </c>
      <c r="I164" s="13" t="s">
        <v>431</v>
      </c>
      <c r="J164" s="11" t="s">
        <v>29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ht="15.75" customHeight="1">
      <c r="A165" s="20" t="s">
        <v>537</v>
      </c>
      <c r="B165" s="20" t="s">
        <v>41</v>
      </c>
      <c r="C165" s="20" t="s">
        <v>538</v>
      </c>
      <c r="D165" s="21" t="s">
        <v>99</v>
      </c>
      <c r="E165" s="22" t="s">
        <v>24</v>
      </c>
      <c r="F165" s="23">
        <v>4.0</v>
      </c>
      <c r="G165" s="23"/>
      <c r="H165" s="20" t="s">
        <v>539</v>
      </c>
      <c r="I165" s="22" t="s">
        <v>431</v>
      </c>
      <c r="J165" s="20" t="s">
        <v>29</v>
      </c>
    </row>
    <row r="166" ht="15.75" customHeight="1">
      <c r="A166" s="20" t="s">
        <v>540</v>
      </c>
      <c r="B166" s="20" t="s">
        <v>41</v>
      </c>
      <c r="C166" s="20" t="s">
        <v>541</v>
      </c>
      <c r="D166" s="21" t="s">
        <v>99</v>
      </c>
      <c r="E166" s="22" t="s">
        <v>24</v>
      </c>
      <c r="F166" s="23">
        <v>4.0</v>
      </c>
      <c r="G166" s="23"/>
      <c r="H166" s="20" t="s">
        <v>542</v>
      </c>
      <c r="I166" s="22" t="s">
        <v>431</v>
      </c>
      <c r="J166" s="20" t="s">
        <v>29</v>
      </c>
    </row>
    <row r="167" ht="15.75" customHeight="1">
      <c r="A167" s="20" t="s">
        <v>543</v>
      </c>
      <c r="B167" s="20" t="s">
        <v>41</v>
      </c>
      <c r="C167" s="20" t="s">
        <v>544</v>
      </c>
      <c r="D167" s="21" t="s">
        <v>99</v>
      </c>
      <c r="E167" s="22" t="s">
        <v>24</v>
      </c>
      <c r="F167" s="23">
        <v>4.0</v>
      </c>
      <c r="G167" s="23"/>
      <c r="H167" s="20" t="s">
        <v>545</v>
      </c>
      <c r="I167" s="22" t="s">
        <v>431</v>
      </c>
      <c r="J167" s="20" t="s">
        <v>29</v>
      </c>
    </row>
    <row r="168" ht="15.75" customHeight="1">
      <c r="A168" s="11" t="s">
        <v>546</v>
      </c>
      <c r="B168" s="11" t="s">
        <v>32</v>
      </c>
      <c r="C168" s="11" t="s">
        <v>547</v>
      </c>
      <c r="D168" s="12" t="s">
        <v>54</v>
      </c>
      <c r="E168" s="13" t="s">
        <v>55</v>
      </c>
      <c r="F168" s="26">
        <f t="shared" ref="F168:G168" si="33">SUM(F169:F170)</f>
        <v>8</v>
      </c>
      <c r="G168" s="26">
        <f t="shared" si="33"/>
        <v>0</v>
      </c>
      <c r="H168" s="11" t="s">
        <v>548</v>
      </c>
      <c r="I168" s="13" t="s">
        <v>431</v>
      </c>
      <c r="J168" s="11" t="s">
        <v>29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ht="15.75" customHeight="1">
      <c r="A169" s="20" t="s">
        <v>549</v>
      </c>
      <c r="B169" s="20" t="s">
        <v>41</v>
      </c>
      <c r="C169" s="20" t="s">
        <v>550</v>
      </c>
      <c r="D169" s="21" t="s">
        <v>54</v>
      </c>
      <c r="E169" s="22" t="s">
        <v>55</v>
      </c>
      <c r="F169" s="23">
        <v>5.0</v>
      </c>
      <c r="G169" s="38"/>
      <c r="H169" s="20" t="s">
        <v>551</v>
      </c>
      <c r="I169" s="22" t="s">
        <v>431</v>
      </c>
      <c r="J169" s="20" t="s">
        <v>29</v>
      </c>
    </row>
    <row r="170" ht="15.75" customHeight="1">
      <c r="A170" s="20" t="s">
        <v>552</v>
      </c>
      <c r="B170" s="20" t="s">
        <v>41</v>
      </c>
      <c r="C170" s="20" t="s">
        <v>553</v>
      </c>
      <c r="D170" s="21" t="s">
        <v>54</v>
      </c>
      <c r="E170" s="22" t="s">
        <v>55</v>
      </c>
      <c r="F170" s="23">
        <v>3.0</v>
      </c>
      <c r="G170" s="38"/>
      <c r="H170" s="20" t="s">
        <v>554</v>
      </c>
      <c r="I170" s="22" t="s">
        <v>431</v>
      </c>
      <c r="J170" s="20" t="s">
        <v>29</v>
      </c>
    </row>
    <row r="171" ht="15.75" customHeight="1">
      <c r="A171" s="20" t="s">
        <v>555</v>
      </c>
      <c r="B171" s="20" t="s">
        <v>32</v>
      </c>
      <c r="C171" s="20" t="s">
        <v>556</v>
      </c>
      <c r="D171" s="21" t="s">
        <v>532</v>
      </c>
      <c r="E171" s="22" t="s">
        <v>24</v>
      </c>
      <c r="F171" s="23">
        <f t="shared" ref="F171:G171" si="34">SUM(F172:F173)</f>
        <v>8</v>
      </c>
      <c r="G171" s="38">
        <f t="shared" si="34"/>
        <v>0</v>
      </c>
      <c r="H171" s="20" t="s">
        <v>557</v>
      </c>
      <c r="I171" s="22" t="s">
        <v>431</v>
      </c>
      <c r="J171" s="20" t="s">
        <v>29</v>
      </c>
    </row>
    <row r="172" ht="15.75" customHeight="1">
      <c r="A172" s="20" t="s">
        <v>558</v>
      </c>
      <c r="B172" s="20" t="s">
        <v>41</v>
      </c>
      <c r="C172" s="20" t="s">
        <v>559</v>
      </c>
      <c r="D172" s="21" t="s">
        <v>195</v>
      </c>
      <c r="E172" s="22" t="s">
        <v>24</v>
      </c>
      <c r="F172" s="23">
        <v>4.0</v>
      </c>
      <c r="G172" s="38"/>
      <c r="H172" s="20" t="s">
        <v>560</v>
      </c>
      <c r="I172" s="22" t="s">
        <v>431</v>
      </c>
      <c r="J172" s="20" t="s">
        <v>29</v>
      </c>
    </row>
    <row r="173" ht="15.75" customHeight="1">
      <c r="A173" s="20" t="s">
        <v>561</v>
      </c>
      <c r="B173" s="20" t="s">
        <v>41</v>
      </c>
      <c r="C173" s="20" t="s">
        <v>562</v>
      </c>
      <c r="D173" s="21" t="s">
        <v>563</v>
      </c>
      <c r="E173" s="22" t="s">
        <v>110</v>
      </c>
      <c r="F173" s="23">
        <v>4.0</v>
      </c>
      <c r="G173" s="38"/>
      <c r="H173" s="20" t="s">
        <v>564</v>
      </c>
      <c r="I173" s="22" t="s">
        <v>431</v>
      </c>
      <c r="J173" s="20" t="s">
        <v>29</v>
      </c>
    </row>
    <row r="174" ht="15.75" customHeight="1">
      <c r="A174" s="11" t="s">
        <v>565</v>
      </c>
      <c r="B174" s="11" t="s">
        <v>32</v>
      </c>
      <c r="C174" s="11" t="s">
        <v>566</v>
      </c>
      <c r="D174" s="12" t="s">
        <v>59</v>
      </c>
      <c r="E174" s="13" t="s">
        <v>24</v>
      </c>
      <c r="F174" s="26">
        <f t="shared" ref="F174:G174" si="35">SUM(F175:F178)</f>
        <v>32</v>
      </c>
      <c r="G174" s="39">
        <f t="shared" si="35"/>
        <v>0</v>
      </c>
      <c r="H174" s="11" t="s">
        <v>567</v>
      </c>
      <c r="I174" s="13" t="s">
        <v>431</v>
      </c>
      <c r="J174" s="11" t="s">
        <v>29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ht="15.75" customHeight="1">
      <c r="A175" s="20" t="s">
        <v>568</v>
      </c>
      <c r="B175" s="20" t="s">
        <v>41</v>
      </c>
      <c r="C175" s="20" t="s">
        <v>569</v>
      </c>
      <c r="D175" s="21" t="s">
        <v>59</v>
      </c>
      <c r="E175" s="22" t="s">
        <v>110</v>
      </c>
      <c r="F175" s="23">
        <v>3.0</v>
      </c>
      <c r="G175" s="38"/>
      <c r="H175" s="20" t="s">
        <v>570</v>
      </c>
      <c r="I175" s="22" t="s">
        <v>431</v>
      </c>
      <c r="J175" s="20" t="s">
        <v>29</v>
      </c>
    </row>
    <row r="176" ht="15.75" customHeight="1">
      <c r="A176" s="20" t="s">
        <v>571</v>
      </c>
      <c r="B176" s="20" t="s">
        <v>41</v>
      </c>
      <c r="C176" s="20" t="s">
        <v>572</v>
      </c>
      <c r="D176" s="21" t="s">
        <v>59</v>
      </c>
      <c r="E176" s="22" t="s">
        <v>24</v>
      </c>
      <c r="F176" s="23">
        <v>4.0</v>
      </c>
      <c r="G176" s="38"/>
      <c r="H176" s="20" t="s">
        <v>573</v>
      </c>
      <c r="I176" s="22" t="s">
        <v>431</v>
      </c>
      <c r="J176" s="20" t="s">
        <v>29</v>
      </c>
    </row>
    <row r="177" ht="15.75" customHeight="1">
      <c r="A177" s="20" t="s">
        <v>574</v>
      </c>
      <c r="B177" s="20" t="s">
        <v>41</v>
      </c>
      <c r="C177" s="20" t="s">
        <v>575</v>
      </c>
      <c r="D177" s="21" t="s">
        <v>59</v>
      </c>
      <c r="E177" s="22" t="s">
        <v>24</v>
      </c>
      <c r="F177" s="23">
        <v>5.0</v>
      </c>
      <c r="G177" s="38"/>
      <c r="H177" s="20" t="s">
        <v>576</v>
      </c>
      <c r="I177" s="22" t="s">
        <v>431</v>
      </c>
      <c r="J177" s="20" t="s">
        <v>29</v>
      </c>
    </row>
    <row r="178" ht="15.75" customHeight="1">
      <c r="A178" s="20" t="s">
        <v>577</v>
      </c>
      <c r="B178" s="20" t="s">
        <v>41</v>
      </c>
      <c r="C178" s="20" t="s">
        <v>578</v>
      </c>
      <c r="D178" s="21" t="s">
        <v>59</v>
      </c>
      <c r="E178" s="22" t="s">
        <v>24</v>
      </c>
      <c r="F178" s="23">
        <v>20.0</v>
      </c>
      <c r="G178" s="38"/>
      <c r="H178" s="20" t="s">
        <v>579</v>
      </c>
      <c r="I178" s="22" t="s">
        <v>431</v>
      </c>
      <c r="J178" s="20" t="s">
        <v>29</v>
      </c>
    </row>
    <row r="179" ht="15.75" customHeight="1">
      <c r="I179" s="40"/>
    </row>
    <row r="180" ht="15.75" customHeight="1">
      <c r="C180" s="41"/>
      <c r="I180" s="40"/>
    </row>
    <row r="181" ht="15.75" customHeight="1">
      <c r="I181" s="40"/>
    </row>
    <row r="182" ht="15.75" customHeight="1">
      <c r="I182" s="40"/>
    </row>
    <row r="183" ht="15.75" customHeight="1">
      <c r="I183" s="40"/>
    </row>
    <row r="184" ht="15.75" customHeight="1">
      <c r="I184" s="40"/>
    </row>
    <row r="185" ht="15.75" customHeight="1">
      <c r="I185" s="40"/>
    </row>
    <row r="186" ht="15.75" customHeight="1">
      <c r="I186" s="40"/>
    </row>
    <row r="187" ht="15.75" customHeight="1">
      <c r="I187" s="40"/>
    </row>
    <row r="188" ht="15.75" customHeight="1">
      <c r="I188" s="40"/>
    </row>
    <row r="189" ht="15.75" customHeight="1">
      <c r="I189" s="40"/>
    </row>
    <row r="190" ht="15.75" customHeight="1">
      <c r="I190" s="40"/>
    </row>
    <row r="191" ht="15.75" customHeight="1">
      <c r="I191" s="40"/>
    </row>
    <row r="192" ht="15.75" customHeight="1">
      <c r="I192" s="40"/>
    </row>
    <row r="193" ht="15.75" customHeight="1">
      <c r="I193" s="40"/>
    </row>
    <row r="194" ht="15.75" customHeight="1">
      <c r="I194" s="40"/>
    </row>
    <row r="195" ht="15.75" customHeight="1">
      <c r="I195" s="40"/>
    </row>
    <row r="196" ht="15.75" customHeight="1">
      <c r="I196" s="40"/>
    </row>
    <row r="197" ht="15.75" customHeight="1">
      <c r="I197" s="40"/>
    </row>
    <row r="198" ht="15.75" customHeight="1">
      <c r="I198" s="40"/>
    </row>
    <row r="199" ht="15.75" customHeight="1">
      <c r="I199" s="40"/>
    </row>
    <row r="200" ht="15.75" customHeight="1">
      <c r="I200" s="40"/>
    </row>
    <row r="201" ht="15.75" customHeight="1">
      <c r="I201" s="40"/>
    </row>
    <row r="202" ht="15.75" customHeight="1">
      <c r="I202" s="40"/>
    </row>
    <row r="203" ht="15.75" customHeight="1">
      <c r="I203" s="40"/>
    </row>
    <row r="204" ht="15.75" customHeight="1">
      <c r="I204" s="40"/>
    </row>
    <row r="205" ht="15.75" customHeight="1">
      <c r="I205" s="40"/>
    </row>
    <row r="206" ht="15.75" customHeight="1">
      <c r="I206" s="40"/>
    </row>
    <row r="207" ht="15.75" customHeight="1">
      <c r="I207" s="40"/>
    </row>
    <row r="208" ht="15.75" customHeight="1">
      <c r="I208" s="40"/>
    </row>
    <row r="209" ht="15.75" customHeight="1">
      <c r="I209" s="40"/>
    </row>
    <row r="210" ht="15.75" customHeight="1">
      <c r="I210" s="40"/>
    </row>
    <row r="211" ht="15.75" customHeight="1">
      <c r="I211" s="40"/>
    </row>
    <row r="212" ht="15.75" customHeight="1">
      <c r="I212" s="40"/>
    </row>
    <row r="213" ht="15.75" customHeight="1">
      <c r="I213" s="40"/>
    </row>
    <row r="214" ht="15.75" customHeight="1">
      <c r="I214" s="40"/>
    </row>
    <row r="215" ht="15.75" customHeight="1">
      <c r="I215" s="40"/>
    </row>
    <row r="216" ht="15.75" customHeight="1">
      <c r="I216" s="40"/>
    </row>
    <row r="217" ht="15.75" customHeight="1">
      <c r="I217" s="40"/>
    </row>
    <row r="218" ht="15.75" customHeight="1">
      <c r="I218" s="40"/>
    </row>
    <row r="219" ht="15.75" customHeight="1">
      <c r="I219" s="40"/>
    </row>
    <row r="220" ht="15.75" customHeight="1">
      <c r="I220" s="40"/>
    </row>
    <row r="221" ht="15.75" customHeight="1">
      <c r="I221" s="40"/>
    </row>
    <row r="222" ht="15.75" customHeight="1">
      <c r="I222" s="40"/>
    </row>
    <row r="223" ht="15.75" customHeight="1">
      <c r="I223" s="40"/>
    </row>
    <row r="224" ht="15.75" customHeight="1">
      <c r="I224" s="40"/>
    </row>
    <row r="225" ht="15.75" customHeight="1">
      <c r="I225" s="40"/>
    </row>
    <row r="226" ht="15.75" customHeight="1">
      <c r="I226" s="40"/>
    </row>
    <row r="227" ht="15.75" customHeight="1">
      <c r="I227" s="40"/>
    </row>
    <row r="228" ht="15.75" customHeight="1">
      <c r="I228" s="40"/>
    </row>
    <row r="229" ht="15.75" customHeight="1">
      <c r="I229" s="40"/>
    </row>
    <row r="230" ht="15.75" customHeight="1">
      <c r="I230" s="40"/>
    </row>
    <row r="231" ht="15.75" customHeight="1">
      <c r="I231" s="40"/>
    </row>
    <row r="232" ht="15.75" customHeight="1">
      <c r="I232" s="40"/>
    </row>
    <row r="233" ht="15.75" customHeight="1">
      <c r="I233" s="40"/>
    </row>
    <row r="234" ht="15.75" customHeight="1">
      <c r="I234" s="40"/>
    </row>
    <row r="235" ht="15.75" customHeight="1">
      <c r="I235" s="40"/>
    </row>
    <row r="236" ht="15.75" customHeight="1">
      <c r="I236" s="40"/>
    </row>
    <row r="237" ht="15.75" customHeight="1">
      <c r="I237" s="40"/>
    </row>
    <row r="238" ht="15.75" customHeight="1">
      <c r="I238" s="40"/>
    </row>
    <row r="239" ht="15.75" customHeight="1">
      <c r="I239" s="40"/>
    </row>
    <row r="240" ht="15.75" customHeight="1">
      <c r="I240" s="40"/>
    </row>
    <row r="241" ht="15.75" customHeight="1">
      <c r="I241" s="40"/>
    </row>
    <row r="242" ht="15.75" customHeight="1">
      <c r="I242" s="40"/>
    </row>
    <row r="243" ht="15.75" customHeight="1">
      <c r="I243" s="40"/>
    </row>
    <row r="244" ht="15.75" customHeight="1">
      <c r="I244" s="40"/>
    </row>
    <row r="245" ht="15.75" customHeight="1">
      <c r="I245" s="40"/>
    </row>
    <row r="246" ht="15.75" customHeight="1">
      <c r="I246" s="40"/>
    </row>
    <row r="247" ht="15.75" customHeight="1">
      <c r="I247" s="40"/>
    </row>
    <row r="248" ht="15.75" customHeight="1">
      <c r="I248" s="40"/>
    </row>
    <row r="249" ht="15.75" customHeight="1">
      <c r="I249" s="40"/>
    </row>
    <row r="250" ht="15.75" customHeight="1">
      <c r="I250" s="40"/>
    </row>
    <row r="251" ht="15.75" customHeight="1">
      <c r="I251" s="40"/>
    </row>
    <row r="252" ht="15.75" customHeight="1">
      <c r="I252" s="40"/>
    </row>
    <row r="253" ht="15.75" customHeight="1">
      <c r="I253" s="40"/>
    </row>
    <row r="254" ht="15.75" customHeight="1">
      <c r="I254" s="40"/>
    </row>
    <row r="255" ht="15.75" customHeight="1">
      <c r="I255" s="40"/>
    </row>
    <row r="256" ht="15.75" customHeight="1">
      <c r="I256" s="40"/>
    </row>
    <row r="257" ht="15.75" customHeight="1">
      <c r="I257" s="40"/>
    </row>
    <row r="258" ht="15.75" customHeight="1">
      <c r="I258" s="40"/>
    </row>
    <row r="259" ht="15.75" customHeight="1">
      <c r="I259" s="40"/>
    </row>
    <row r="260" ht="15.75" customHeight="1">
      <c r="I260" s="40"/>
    </row>
    <row r="261" ht="15.75" customHeight="1">
      <c r="I261" s="40"/>
    </row>
    <row r="262" ht="15.75" customHeight="1">
      <c r="I262" s="40"/>
    </row>
    <row r="263" ht="15.75" customHeight="1">
      <c r="I263" s="40"/>
    </row>
    <row r="264" ht="15.75" customHeight="1">
      <c r="I264" s="40"/>
    </row>
    <row r="265" ht="15.75" customHeight="1">
      <c r="I265" s="40"/>
    </row>
    <row r="266" ht="15.75" customHeight="1">
      <c r="I266" s="40"/>
    </row>
    <row r="267" ht="15.75" customHeight="1">
      <c r="I267" s="40"/>
    </row>
    <row r="268" ht="15.75" customHeight="1">
      <c r="I268" s="40"/>
    </row>
    <row r="269" ht="15.75" customHeight="1">
      <c r="I269" s="40"/>
    </row>
    <row r="270" ht="15.75" customHeight="1">
      <c r="I270" s="40"/>
    </row>
    <row r="271" ht="15.75" customHeight="1">
      <c r="I271" s="40"/>
    </row>
    <row r="272" ht="15.75" customHeight="1">
      <c r="I272" s="40"/>
    </row>
    <row r="273" ht="15.75" customHeight="1">
      <c r="I273" s="40"/>
    </row>
    <row r="274" ht="15.75" customHeight="1">
      <c r="I274" s="40"/>
    </row>
    <row r="275" ht="15.75" customHeight="1">
      <c r="I275" s="40"/>
    </row>
    <row r="276" ht="15.75" customHeight="1">
      <c r="I276" s="40"/>
    </row>
    <row r="277" ht="15.75" customHeight="1">
      <c r="I277" s="40"/>
    </row>
    <row r="278" ht="15.75" customHeight="1">
      <c r="I278" s="40"/>
    </row>
    <row r="279" ht="15.75" customHeight="1">
      <c r="I279" s="40"/>
    </row>
    <row r="280" ht="15.75" customHeight="1">
      <c r="I280" s="40"/>
    </row>
    <row r="281" ht="15.75" customHeight="1">
      <c r="I281" s="40"/>
    </row>
    <row r="282" ht="15.75" customHeight="1">
      <c r="I282" s="40"/>
    </row>
    <row r="283" ht="15.75" customHeight="1">
      <c r="I283" s="40"/>
    </row>
    <row r="284" ht="15.75" customHeight="1">
      <c r="I284" s="40"/>
    </row>
    <row r="285" ht="15.75" customHeight="1">
      <c r="I285" s="40"/>
    </row>
    <row r="286" ht="15.75" customHeight="1">
      <c r="I286" s="40"/>
    </row>
    <row r="287" ht="15.75" customHeight="1">
      <c r="I287" s="40"/>
    </row>
    <row r="288" ht="15.75" customHeight="1">
      <c r="I288" s="40"/>
    </row>
    <row r="289" ht="15.75" customHeight="1">
      <c r="I289" s="40"/>
    </row>
    <row r="290" ht="15.75" customHeight="1">
      <c r="I290" s="40"/>
    </row>
    <row r="291" ht="15.75" customHeight="1">
      <c r="I291" s="40"/>
    </row>
    <row r="292" ht="15.75" customHeight="1">
      <c r="I292" s="40"/>
    </row>
    <row r="293" ht="15.75" customHeight="1">
      <c r="I293" s="40"/>
    </row>
    <row r="294" ht="15.75" customHeight="1">
      <c r="I294" s="40"/>
    </row>
    <row r="295" ht="15.75" customHeight="1">
      <c r="I295" s="40"/>
    </row>
    <row r="296" ht="15.75" customHeight="1">
      <c r="I296" s="40"/>
    </row>
    <row r="297" ht="15.75" customHeight="1">
      <c r="I297" s="40"/>
    </row>
    <row r="298" ht="15.75" customHeight="1">
      <c r="I298" s="40"/>
    </row>
    <row r="299" ht="15.75" customHeight="1">
      <c r="I299" s="40"/>
    </row>
    <row r="300" ht="15.75" customHeight="1">
      <c r="I300" s="40"/>
    </row>
    <row r="301" ht="15.75" customHeight="1">
      <c r="I301" s="40"/>
    </row>
    <row r="302" ht="15.75" customHeight="1">
      <c r="I302" s="40"/>
    </row>
    <row r="303" ht="15.75" customHeight="1">
      <c r="I303" s="40"/>
    </row>
    <row r="304" ht="15.75" customHeight="1">
      <c r="I304" s="40"/>
    </row>
    <row r="305" ht="15.75" customHeight="1">
      <c r="I305" s="40"/>
    </row>
    <row r="306" ht="15.75" customHeight="1">
      <c r="I306" s="40"/>
    </row>
    <row r="307" ht="15.75" customHeight="1">
      <c r="I307" s="40"/>
    </row>
    <row r="308" ht="15.75" customHeight="1">
      <c r="I308" s="40"/>
    </row>
    <row r="309" ht="15.75" customHeight="1">
      <c r="I309" s="40"/>
    </row>
    <row r="310" ht="15.75" customHeight="1">
      <c r="I310" s="40"/>
    </row>
    <row r="311" ht="15.75" customHeight="1">
      <c r="I311" s="40"/>
    </row>
    <row r="312" ht="15.75" customHeight="1">
      <c r="I312" s="40"/>
    </row>
    <row r="313" ht="15.75" customHeight="1">
      <c r="I313" s="40"/>
    </row>
    <row r="314" ht="15.75" customHeight="1">
      <c r="I314" s="40"/>
    </row>
    <row r="315" ht="15.75" customHeight="1">
      <c r="I315" s="40"/>
    </row>
    <row r="316" ht="15.75" customHeight="1">
      <c r="I316" s="40"/>
    </row>
    <row r="317" ht="15.75" customHeight="1">
      <c r="I317" s="40"/>
    </row>
    <row r="318" ht="15.75" customHeight="1">
      <c r="I318" s="40"/>
    </row>
    <row r="319" ht="15.75" customHeight="1">
      <c r="I319" s="40"/>
    </row>
    <row r="320" ht="15.75" customHeight="1">
      <c r="I320" s="40"/>
    </row>
    <row r="321" ht="15.75" customHeight="1">
      <c r="I321" s="40"/>
    </row>
    <row r="322" ht="15.75" customHeight="1">
      <c r="I322" s="40"/>
    </row>
    <row r="323" ht="15.75" customHeight="1">
      <c r="I323" s="40"/>
    </row>
    <row r="324" ht="15.75" customHeight="1">
      <c r="I324" s="40"/>
    </row>
    <row r="325" ht="15.75" customHeight="1">
      <c r="I325" s="40"/>
    </row>
    <row r="326" ht="15.75" customHeight="1">
      <c r="I326" s="40"/>
    </row>
    <row r="327" ht="15.75" customHeight="1">
      <c r="I327" s="40"/>
    </row>
    <row r="328" ht="15.75" customHeight="1">
      <c r="I328" s="40"/>
    </row>
    <row r="329" ht="15.75" customHeight="1">
      <c r="I329" s="40"/>
    </row>
    <row r="330" ht="15.75" customHeight="1">
      <c r="I330" s="40"/>
    </row>
    <row r="331" ht="15.75" customHeight="1">
      <c r="I331" s="40"/>
    </row>
    <row r="332" ht="15.75" customHeight="1">
      <c r="I332" s="40"/>
    </row>
    <row r="333" ht="15.75" customHeight="1">
      <c r="I333" s="40"/>
    </row>
    <row r="334" ht="15.75" customHeight="1">
      <c r="I334" s="40"/>
    </row>
    <row r="335" ht="15.75" customHeight="1">
      <c r="I335" s="40"/>
    </row>
    <row r="336" ht="15.75" customHeight="1">
      <c r="I336" s="40"/>
    </row>
    <row r="337" ht="15.75" customHeight="1">
      <c r="I337" s="40"/>
    </row>
    <row r="338" ht="15.75" customHeight="1">
      <c r="I338" s="40"/>
    </row>
    <row r="339" ht="15.75" customHeight="1">
      <c r="I339" s="40"/>
    </row>
    <row r="340" ht="15.75" customHeight="1">
      <c r="I340" s="40"/>
    </row>
    <row r="341" ht="15.75" customHeight="1">
      <c r="I341" s="40"/>
    </row>
    <row r="342" ht="15.75" customHeight="1">
      <c r="I342" s="40"/>
    </row>
    <row r="343" ht="15.75" customHeight="1">
      <c r="I343" s="40"/>
    </row>
    <row r="344" ht="15.75" customHeight="1">
      <c r="I344" s="40"/>
    </row>
    <row r="345" ht="15.75" customHeight="1">
      <c r="I345" s="40"/>
    </row>
    <row r="346" ht="15.75" customHeight="1">
      <c r="I346" s="40"/>
    </row>
    <row r="347" ht="15.75" customHeight="1">
      <c r="I347" s="40"/>
    </row>
    <row r="348" ht="15.75" customHeight="1">
      <c r="I348" s="40"/>
    </row>
    <row r="349" ht="15.75" customHeight="1">
      <c r="I349" s="40"/>
    </row>
    <row r="350" ht="15.75" customHeight="1">
      <c r="I350" s="40"/>
    </row>
    <row r="351" ht="15.75" customHeight="1">
      <c r="I351" s="40"/>
    </row>
    <row r="352" ht="15.75" customHeight="1">
      <c r="I352" s="40"/>
    </row>
    <row r="353" ht="15.75" customHeight="1">
      <c r="I353" s="40"/>
    </row>
    <row r="354" ht="15.75" customHeight="1">
      <c r="I354" s="40"/>
    </row>
    <row r="355" ht="15.75" customHeight="1">
      <c r="I355" s="40"/>
    </row>
    <row r="356" ht="15.75" customHeight="1">
      <c r="I356" s="40"/>
    </row>
    <row r="357" ht="15.75" customHeight="1">
      <c r="I357" s="40"/>
    </row>
    <row r="358" ht="15.75" customHeight="1">
      <c r="I358" s="40"/>
    </row>
    <row r="359" ht="15.75" customHeight="1">
      <c r="I359" s="40"/>
    </row>
    <row r="360" ht="15.75" customHeight="1">
      <c r="I360" s="40"/>
    </row>
    <row r="361" ht="15.75" customHeight="1">
      <c r="I361" s="40"/>
    </row>
    <row r="362" ht="15.75" customHeight="1">
      <c r="I362" s="40"/>
    </row>
    <row r="363" ht="15.75" customHeight="1">
      <c r="I363" s="40"/>
    </row>
    <row r="364" ht="15.75" customHeight="1">
      <c r="I364" s="40"/>
    </row>
    <row r="365" ht="15.75" customHeight="1">
      <c r="I365" s="40"/>
    </row>
    <row r="366" ht="15.75" customHeight="1">
      <c r="I366" s="40"/>
    </row>
    <row r="367" ht="15.75" customHeight="1">
      <c r="I367" s="40"/>
    </row>
    <row r="368" ht="15.75" customHeight="1">
      <c r="I368" s="40"/>
    </row>
    <row r="369" ht="15.75" customHeight="1">
      <c r="I369" s="40"/>
    </row>
    <row r="370" ht="15.75" customHeight="1">
      <c r="I370" s="40"/>
    </row>
    <row r="371" ht="15.75" customHeight="1">
      <c r="I371" s="40"/>
    </row>
    <row r="372" ht="15.75" customHeight="1">
      <c r="I372" s="40"/>
    </row>
    <row r="373" ht="15.75" customHeight="1">
      <c r="I373" s="40"/>
    </row>
    <row r="374" ht="15.75" customHeight="1">
      <c r="I374" s="40"/>
    </row>
    <row r="375" ht="15.75" customHeight="1">
      <c r="I375" s="40"/>
    </row>
    <row r="376" ht="15.75" customHeight="1">
      <c r="I376" s="40"/>
    </row>
    <row r="377" ht="15.75" customHeight="1">
      <c r="I377" s="40"/>
    </row>
    <row r="378" ht="15.75" customHeight="1">
      <c r="I378" s="40"/>
    </row>
    <row r="379" ht="15.75" customHeight="1">
      <c r="I379" s="40"/>
    </row>
    <row r="380" ht="15.75" customHeight="1">
      <c r="I380" s="40"/>
    </row>
    <row r="381" ht="15.75" customHeight="1">
      <c r="I381" s="40"/>
    </row>
    <row r="382" ht="15.75" customHeight="1">
      <c r="I382" s="40"/>
    </row>
    <row r="383" ht="15.75" customHeight="1">
      <c r="I383" s="40"/>
    </row>
    <row r="384" ht="15.75" customHeight="1">
      <c r="I384" s="40"/>
    </row>
    <row r="385" ht="15.75" customHeight="1">
      <c r="I385" s="40"/>
    </row>
    <row r="386" ht="15.75" customHeight="1">
      <c r="I386" s="40"/>
    </row>
    <row r="387" ht="15.75" customHeight="1">
      <c r="I387" s="40"/>
    </row>
    <row r="388" ht="15.75" customHeight="1">
      <c r="I388" s="40"/>
    </row>
    <row r="389" ht="15.75" customHeight="1">
      <c r="I389" s="40"/>
    </row>
    <row r="390" ht="15.75" customHeight="1">
      <c r="I390" s="40"/>
    </row>
    <row r="391" ht="15.75" customHeight="1">
      <c r="I391" s="40"/>
    </row>
    <row r="392" ht="15.75" customHeight="1">
      <c r="I392" s="40"/>
    </row>
    <row r="393" ht="15.75" customHeight="1">
      <c r="I393" s="40"/>
    </row>
    <row r="394" ht="15.75" customHeight="1">
      <c r="I394" s="40"/>
    </row>
    <row r="395" ht="15.75" customHeight="1">
      <c r="I395" s="40"/>
    </row>
    <row r="396" ht="15.75" customHeight="1">
      <c r="I396" s="40"/>
    </row>
    <row r="397" ht="15.75" customHeight="1">
      <c r="I397" s="40"/>
    </row>
    <row r="398" ht="15.75" customHeight="1">
      <c r="I398" s="40"/>
    </row>
    <row r="399" ht="15.75" customHeight="1">
      <c r="I399" s="40"/>
    </row>
    <row r="400" ht="15.75" customHeight="1">
      <c r="I400" s="40"/>
    </row>
    <row r="401" ht="15.75" customHeight="1">
      <c r="I401" s="40"/>
    </row>
    <row r="402" ht="15.75" customHeight="1">
      <c r="I402" s="40"/>
    </row>
    <row r="403" ht="15.75" customHeight="1">
      <c r="I403" s="40"/>
    </row>
    <row r="404" ht="15.75" customHeight="1">
      <c r="I404" s="40"/>
    </row>
    <row r="405" ht="15.75" customHeight="1">
      <c r="I405" s="40"/>
    </row>
    <row r="406" ht="15.75" customHeight="1">
      <c r="I406" s="40"/>
    </row>
    <row r="407" ht="15.75" customHeight="1">
      <c r="I407" s="40"/>
    </row>
    <row r="408" ht="15.75" customHeight="1">
      <c r="I408" s="40"/>
    </row>
    <row r="409" ht="15.75" customHeight="1">
      <c r="I409" s="40"/>
    </row>
    <row r="410" ht="15.75" customHeight="1">
      <c r="I410" s="40"/>
    </row>
    <row r="411" ht="15.75" customHeight="1">
      <c r="I411" s="40"/>
    </row>
    <row r="412" ht="15.75" customHeight="1">
      <c r="I412" s="40"/>
    </row>
    <row r="413" ht="15.75" customHeight="1">
      <c r="I413" s="40"/>
    </row>
    <row r="414" ht="15.75" customHeight="1">
      <c r="I414" s="40"/>
    </row>
    <row r="415" ht="15.75" customHeight="1">
      <c r="I415" s="40"/>
    </row>
    <row r="416" ht="15.75" customHeight="1">
      <c r="I416" s="40"/>
    </row>
    <row r="417" ht="15.75" customHeight="1">
      <c r="I417" s="40"/>
    </row>
    <row r="418" ht="15.75" customHeight="1">
      <c r="I418" s="40"/>
    </row>
    <row r="419" ht="15.75" customHeight="1">
      <c r="I419" s="40"/>
    </row>
    <row r="420" ht="15.75" customHeight="1">
      <c r="I420" s="40"/>
    </row>
    <row r="421" ht="15.75" customHeight="1">
      <c r="I421" s="40"/>
    </row>
    <row r="422" ht="15.75" customHeight="1">
      <c r="I422" s="40"/>
    </row>
    <row r="423" ht="15.75" customHeight="1">
      <c r="I423" s="40"/>
    </row>
    <row r="424" ht="15.75" customHeight="1">
      <c r="I424" s="40"/>
    </row>
    <row r="425" ht="15.75" customHeight="1">
      <c r="I425" s="40"/>
    </row>
    <row r="426" ht="15.75" customHeight="1">
      <c r="I426" s="40"/>
    </row>
    <row r="427" ht="15.75" customHeight="1">
      <c r="I427" s="40"/>
    </row>
    <row r="428" ht="15.75" customHeight="1">
      <c r="I428" s="40"/>
    </row>
    <row r="429" ht="15.75" customHeight="1">
      <c r="I429" s="40"/>
    </row>
    <row r="430" ht="15.75" customHeight="1">
      <c r="I430" s="40"/>
    </row>
    <row r="431" ht="15.75" customHeight="1">
      <c r="I431" s="40"/>
    </row>
    <row r="432" ht="15.75" customHeight="1">
      <c r="I432" s="40"/>
    </row>
    <row r="433" ht="15.75" customHeight="1">
      <c r="I433" s="40"/>
    </row>
    <row r="434" ht="15.75" customHeight="1">
      <c r="I434" s="40"/>
    </row>
    <row r="435" ht="15.75" customHeight="1">
      <c r="I435" s="40"/>
    </row>
    <row r="436" ht="15.75" customHeight="1">
      <c r="I436" s="40"/>
    </row>
    <row r="437" ht="15.75" customHeight="1">
      <c r="I437" s="40"/>
    </row>
    <row r="438" ht="15.75" customHeight="1">
      <c r="I438" s="40"/>
    </row>
    <row r="439" ht="15.75" customHeight="1">
      <c r="I439" s="40"/>
    </row>
    <row r="440" ht="15.75" customHeight="1">
      <c r="I440" s="40"/>
    </row>
    <row r="441" ht="15.75" customHeight="1">
      <c r="I441" s="40"/>
    </row>
    <row r="442" ht="15.75" customHeight="1">
      <c r="I442" s="40"/>
    </row>
    <row r="443" ht="15.75" customHeight="1">
      <c r="I443" s="40"/>
    </row>
    <row r="444" ht="15.75" customHeight="1">
      <c r="I444" s="40"/>
    </row>
    <row r="445" ht="15.75" customHeight="1">
      <c r="I445" s="40"/>
    </row>
    <row r="446" ht="15.75" customHeight="1">
      <c r="I446" s="40"/>
    </row>
    <row r="447" ht="15.75" customHeight="1">
      <c r="I447" s="40"/>
    </row>
    <row r="448" ht="15.75" customHeight="1">
      <c r="I448" s="40"/>
    </row>
    <row r="449" ht="15.75" customHeight="1">
      <c r="I449" s="40"/>
    </row>
    <row r="450" ht="15.75" customHeight="1">
      <c r="I450" s="40"/>
    </row>
    <row r="451" ht="15.75" customHeight="1">
      <c r="I451" s="40"/>
    </row>
    <row r="452" ht="15.75" customHeight="1">
      <c r="I452" s="40"/>
    </row>
    <row r="453" ht="15.75" customHeight="1">
      <c r="I453" s="40"/>
    </row>
    <row r="454" ht="15.75" customHeight="1">
      <c r="I454" s="40"/>
    </row>
    <row r="455" ht="15.75" customHeight="1">
      <c r="I455" s="40"/>
    </row>
    <row r="456" ht="15.75" customHeight="1">
      <c r="I456" s="40"/>
    </row>
    <row r="457" ht="15.75" customHeight="1">
      <c r="I457" s="40"/>
    </row>
    <row r="458" ht="15.75" customHeight="1">
      <c r="I458" s="40"/>
    </row>
    <row r="459" ht="15.75" customHeight="1">
      <c r="I459" s="40"/>
    </row>
    <row r="460" ht="15.75" customHeight="1">
      <c r="I460" s="40"/>
    </row>
    <row r="461" ht="15.75" customHeight="1">
      <c r="I461" s="40"/>
    </row>
    <row r="462" ht="15.75" customHeight="1">
      <c r="I462" s="40"/>
    </row>
    <row r="463" ht="15.75" customHeight="1">
      <c r="I463" s="40"/>
    </row>
    <row r="464" ht="15.75" customHeight="1">
      <c r="I464" s="40"/>
    </row>
    <row r="465" ht="15.75" customHeight="1">
      <c r="I465" s="40"/>
    </row>
    <row r="466" ht="15.75" customHeight="1">
      <c r="I466" s="40"/>
    </row>
    <row r="467" ht="15.75" customHeight="1">
      <c r="I467" s="40"/>
    </row>
    <row r="468" ht="15.75" customHeight="1">
      <c r="I468" s="40"/>
    </row>
    <row r="469" ht="15.75" customHeight="1">
      <c r="I469" s="40"/>
    </row>
    <row r="470" ht="15.75" customHeight="1">
      <c r="I470" s="40"/>
    </row>
    <row r="471" ht="15.75" customHeight="1">
      <c r="I471" s="40"/>
    </row>
    <row r="472" ht="15.75" customHeight="1">
      <c r="I472" s="40"/>
    </row>
    <row r="473" ht="15.75" customHeight="1">
      <c r="I473" s="40"/>
    </row>
    <row r="474" ht="15.75" customHeight="1">
      <c r="I474" s="40"/>
    </row>
    <row r="475" ht="15.75" customHeight="1">
      <c r="I475" s="40"/>
    </row>
    <row r="476" ht="15.75" customHeight="1">
      <c r="I476" s="40"/>
    </row>
    <row r="477" ht="15.75" customHeight="1">
      <c r="I477" s="40"/>
    </row>
    <row r="478" ht="15.75" customHeight="1">
      <c r="I478" s="40"/>
    </row>
    <row r="479" ht="15.75" customHeight="1">
      <c r="I479" s="40"/>
    </row>
    <row r="480" ht="15.75" customHeight="1">
      <c r="I480" s="40"/>
    </row>
    <row r="481" ht="15.75" customHeight="1">
      <c r="I481" s="40"/>
    </row>
    <row r="482" ht="15.75" customHeight="1">
      <c r="I482" s="40"/>
    </row>
    <row r="483" ht="15.75" customHeight="1">
      <c r="I483" s="40"/>
    </row>
    <row r="484" ht="15.75" customHeight="1">
      <c r="I484" s="40"/>
    </row>
    <row r="485" ht="15.75" customHeight="1">
      <c r="I485" s="40"/>
    </row>
    <row r="486" ht="15.75" customHeight="1">
      <c r="I486" s="40"/>
    </row>
    <row r="487" ht="15.75" customHeight="1">
      <c r="I487" s="40"/>
    </row>
    <row r="488" ht="15.75" customHeight="1">
      <c r="I488" s="40"/>
    </row>
    <row r="489" ht="15.75" customHeight="1">
      <c r="I489" s="40"/>
    </row>
    <row r="490" ht="15.75" customHeight="1">
      <c r="I490" s="40"/>
    </row>
    <row r="491" ht="15.75" customHeight="1">
      <c r="I491" s="40"/>
    </row>
    <row r="492" ht="15.75" customHeight="1">
      <c r="I492" s="40"/>
    </row>
    <row r="493" ht="15.75" customHeight="1">
      <c r="I493" s="40"/>
    </row>
    <row r="494" ht="15.75" customHeight="1">
      <c r="I494" s="40"/>
    </row>
    <row r="495" ht="15.75" customHeight="1">
      <c r="I495" s="40"/>
    </row>
    <row r="496" ht="15.75" customHeight="1">
      <c r="I496" s="40"/>
    </row>
    <row r="497" ht="15.75" customHeight="1">
      <c r="I497" s="40"/>
    </row>
    <row r="498" ht="15.75" customHeight="1">
      <c r="I498" s="40"/>
    </row>
    <row r="499" ht="15.75" customHeight="1">
      <c r="I499" s="40"/>
    </row>
    <row r="500" ht="15.75" customHeight="1">
      <c r="I500" s="40"/>
    </row>
    <row r="501" ht="15.75" customHeight="1">
      <c r="I501" s="40"/>
    </row>
    <row r="502" ht="15.75" customHeight="1">
      <c r="I502" s="40"/>
    </row>
    <row r="503" ht="15.75" customHeight="1">
      <c r="I503" s="40"/>
    </row>
    <row r="504" ht="15.75" customHeight="1">
      <c r="I504" s="40"/>
    </row>
    <row r="505" ht="15.75" customHeight="1">
      <c r="I505" s="40"/>
    </row>
    <row r="506" ht="15.75" customHeight="1">
      <c r="I506" s="40"/>
    </row>
    <row r="507" ht="15.75" customHeight="1">
      <c r="I507" s="40"/>
    </row>
    <row r="508" ht="15.75" customHeight="1">
      <c r="I508" s="40"/>
    </row>
    <row r="509" ht="15.75" customHeight="1">
      <c r="I509" s="40"/>
    </row>
    <row r="510" ht="15.75" customHeight="1">
      <c r="I510" s="40"/>
    </row>
    <row r="511" ht="15.75" customHeight="1">
      <c r="I511" s="40"/>
    </row>
    <row r="512" ht="15.75" customHeight="1">
      <c r="I512" s="40"/>
    </row>
    <row r="513" ht="15.75" customHeight="1">
      <c r="I513" s="40"/>
    </row>
    <row r="514" ht="15.75" customHeight="1">
      <c r="I514" s="40"/>
    </row>
    <row r="515" ht="15.75" customHeight="1">
      <c r="I515" s="40"/>
    </row>
    <row r="516" ht="15.75" customHeight="1">
      <c r="I516" s="40"/>
    </row>
    <row r="517" ht="15.75" customHeight="1">
      <c r="I517" s="40"/>
    </row>
    <row r="518" ht="15.75" customHeight="1">
      <c r="I518" s="40"/>
    </row>
    <row r="519" ht="15.75" customHeight="1">
      <c r="I519" s="40"/>
    </row>
    <row r="520" ht="15.75" customHeight="1">
      <c r="I520" s="40"/>
    </row>
    <row r="521" ht="15.75" customHeight="1">
      <c r="I521" s="40"/>
    </row>
    <row r="522" ht="15.75" customHeight="1">
      <c r="I522" s="40"/>
    </row>
    <row r="523" ht="15.75" customHeight="1">
      <c r="I523" s="40"/>
    </row>
    <row r="524" ht="15.75" customHeight="1">
      <c r="I524" s="40"/>
    </row>
    <row r="525" ht="15.75" customHeight="1">
      <c r="I525" s="40"/>
    </row>
    <row r="526" ht="15.75" customHeight="1">
      <c r="I526" s="40"/>
    </row>
    <row r="527" ht="15.75" customHeight="1">
      <c r="I527" s="40"/>
    </row>
    <row r="528" ht="15.75" customHeight="1">
      <c r="I528" s="40"/>
    </row>
    <row r="529" ht="15.75" customHeight="1">
      <c r="I529" s="40"/>
    </row>
    <row r="530" ht="15.75" customHeight="1">
      <c r="I530" s="40"/>
    </row>
    <row r="531" ht="15.75" customHeight="1">
      <c r="I531" s="40"/>
    </row>
    <row r="532" ht="15.75" customHeight="1">
      <c r="I532" s="40"/>
    </row>
    <row r="533" ht="15.75" customHeight="1">
      <c r="I533" s="40"/>
    </row>
    <row r="534" ht="15.75" customHeight="1">
      <c r="I534" s="40"/>
    </row>
    <row r="535" ht="15.75" customHeight="1">
      <c r="I535" s="40"/>
    </row>
    <row r="536" ht="15.75" customHeight="1">
      <c r="I536" s="40"/>
    </row>
    <row r="537" ht="15.75" customHeight="1">
      <c r="I537" s="40"/>
    </row>
    <row r="538" ht="15.75" customHeight="1">
      <c r="I538" s="40"/>
    </row>
    <row r="539" ht="15.75" customHeight="1">
      <c r="I539" s="40"/>
    </row>
    <row r="540" ht="15.75" customHeight="1">
      <c r="I540" s="40"/>
    </row>
    <row r="541" ht="15.75" customHeight="1">
      <c r="I541" s="40"/>
    </row>
    <row r="542" ht="15.75" customHeight="1">
      <c r="I542" s="40"/>
    </row>
    <row r="543" ht="15.75" customHeight="1">
      <c r="I543" s="40"/>
    </row>
    <row r="544" ht="15.75" customHeight="1">
      <c r="I544" s="40"/>
    </row>
    <row r="545" ht="15.75" customHeight="1">
      <c r="I545" s="40"/>
    </row>
    <row r="546" ht="15.75" customHeight="1">
      <c r="I546" s="40"/>
    </row>
    <row r="547" ht="15.75" customHeight="1">
      <c r="I547" s="40"/>
    </row>
    <row r="548" ht="15.75" customHeight="1">
      <c r="I548" s="40"/>
    </row>
    <row r="549" ht="15.75" customHeight="1">
      <c r="I549" s="40"/>
    </row>
    <row r="550" ht="15.75" customHeight="1">
      <c r="I550" s="40"/>
    </row>
    <row r="551" ht="15.75" customHeight="1">
      <c r="I551" s="40"/>
    </row>
    <row r="552" ht="15.75" customHeight="1">
      <c r="I552" s="40"/>
    </row>
    <row r="553" ht="15.75" customHeight="1">
      <c r="I553" s="40"/>
    </row>
    <row r="554" ht="15.75" customHeight="1">
      <c r="I554" s="40"/>
    </row>
    <row r="555" ht="15.75" customHeight="1">
      <c r="I555" s="40"/>
    </row>
    <row r="556" ht="15.75" customHeight="1">
      <c r="I556" s="40"/>
    </row>
    <row r="557" ht="15.75" customHeight="1">
      <c r="I557" s="40"/>
    </row>
    <row r="558" ht="15.75" customHeight="1">
      <c r="I558" s="40"/>
    </row>
    <row r="559" ht="15.75" customHeight="1">
      <c r="I559" s="40"/>
    </row>
    <row r="560" ht="15.75" customHeight="1">
      <c r="I560" s="40"/>
    </row>
    <row r="561" ht="15.75" customHeight="1">
      <c r="I561" s="40"/>
    </row>
    <row r="562" ht="15.75" customHeight="1">
      <c r="I562" s="40"/>
    </row>
    <row r="563" ht="15.75" customHeight="1">
      <c r="I563" s="40"/>
    </row>
    <row r="564" ht="15.75" customHeight="1">
      <c r="I564" s="40"/>
    </row>
    <row r="565" ht="15.75" customHeight="1">
      <c r="I565" s="40"/>
    </row>
    <row r="566" ht="15.75" customHeight="1">
      <c r="I566" s="40"/>
    </row>
    <row r="567" ht="15.75" customHeight="1">
      <c r="I567" s="40"/>
    </row>
    <row r="568" ht="15.75" customHeight="1">
      <c r="I568" s="40"/>
    </row>
    <row r="569" ht="15.75" customHeight="1">
      <c r="I569" s="40"/>
    </row>
    <row r="570" ht="15.75" customHeight="1">
      <c r="I570" s="40"/>
    </row>
    <row r="571" ht="15.75" customHeight="1">
      <c r="I571" s="40"/>
    </row>
    <row r="572" ht="15.75" customHeight="1">
      <c r="I572" s="40"/>
    </row>
    <row r="573" ht="15.75" customHeight="1">
      <c r="I573" s="40"/>
    </row>
    <row r="574" ht="15.75" customHeight="1">
      <c r="I574" s="40"/>
    </row>
    <row r="575" ht="15.75" customHeight="1">
      <c r="I575" s="40"/>
    </row>
    <row r="576" ht="15.75" customHeight="1">
      <c r="I576" s="40"/>
    </row>
    <row r="577" ht="15.75" customHeight="1">
      <c r="I577" s="40"/>
    </row>
    <row r="578" ht="15.75" customHeight="1">
      <c r="I578" s="40"/>
    </row>
    <row r="579" ht="15.75" customHeight="1">
      <c r="I579" s="40"/>
    </row>
    <row r="580" ht="15.75" customHeight="1">
      <c r="I580" s="40"/>
    </row>
    <row r="581" ht="15.75" customHeight="1">
      <c r="I581" s="40"/>
    </row>
    <row r="582" ht="15.75" customHeight="1">
      <c r="I582" s="40"/>
    </row>
    <row r="583" ht="15.75" customHeight="1">
      <c r="I583" s="40"/>
    </row>
    <row r="584" ht="15.75" customHeight="1">
      <c r="I584" s="40"/>
    </row>
    <row r="585" ht="15.75" customHeight="1">
      <c r="I585" s="40"/>
    </row>
    <row r="586" ht="15.75" customHeight="1">
      <c r="I586" s="40"/>
    </row>
    <row r="587" ht="15.75" customHeight="1">
      <c r="I587" s="40"/>
    </row>
    <row r="588" ht="15.75" customHeight="1">
      <c r="I588" s="40"/>
    </row>
    <row r="589" ht="15.75" customHeight="1">
      <c r="I589" s="40"/>
    </row>
    <row r="590" ht="15.75" customHeight="1">
      <c r="I590" s="40"/>
    </row>
    <row r="591" ht="15.75" customHeight="1">
      <c r="I591" s="40"/>
    </row>
    <row r="592" ht="15.75" customHeight="1">
      <c r="I592" s="40"/>
    </row>
    <row r="593" ht="15.75" customHeight="1">
      <c r="I593" s="40"/>
    </row>
    <row r="594" ht="15.75" customHeight="1">
      <c r="I594" s="40"/>
    </row>
    <row r="595" ht="15.75" customHeight="1">
      <c r="I595" s="40"/>
    </row>
    <row r="596" ht="15.75" customHeight="1">
      <c r="I596" s="40"/>
    </row>
    <row r="597" ht="15.75" customHeight="1">
      <c r="I597" s="40"/>
    </row>
    <row r="598" ht="15.75" customHeight="1">
      <c r="I598" s="40"/>
    </row>
    <row r="599" ht="15.75" customHeight="1">
      <c r="I599" s="40"/>
    </row>
    <row r="600" ht="15.75" customHeight="1">
      <c r="I600" s="40"/>
    </row>
    <row r="601" ht="15.75" customHeight="1">
      <c r="I601" s="40"/>
    </row>
    <row r="602" ht="15.75" customHeight="1">
      <c r="I602" s="40"/>
    </row>
    <row r="603" ht="15.75" customHeight="1">
      <c r="I603" s="40"/>
    </row>
    <row r="604" ht="15.75" customHeight="1">
      <c r="I604" s="40"/>
    </row>
    <row r="605" ht="15.75" customHeight="1">
      <c r="I605" s="40"/>
    </row>
    <row r="606" ht="15.75" customHeight="1">
      <c r="I606" s="40"/>
    </row>
    <row r="607" ht="15.75" customHeight="1">
      <c r="I607" s="40"/>
    </row>
    <row r="608" ht="15.75" customHeight="1">
      <c r="I608" s="40"/>
    </row>
    <row r="609" ht="15.75" customHeight="1">
      <c r="I609" s="40"/>
    </row>
    <row r="610" ht="15.75" customHeight="1">
      <c r="I610" s="40"/>
    </row>
    <row r="611" ht="15.75" customHeight="1">
      <c r="I611" s="40"/>
    </row>
    <row r="612" ht="15.75" customHeight="1">
      <c r="I612" s="40"/>
    </row>
    <row r="613" ht="15.75" customHeight="1">
      <c r="I613" s="40"/>
    </row>
    <row r="614" ht="15.75" customHeight="1">
      <c r="I614" s="40"/>
    </row>
    <row r="615" ht="15.75" customHeight="1">
      <c r="I615" s="40"/>
    </row>
    <row r="616" ht="15.75" customHeight="1">
      <c r="I616" s="40"/>
    </row>
    <row r="617" ht="15.75" customHeight="1">
      <c r="I617" s="40"/>
    </row>
    <row r="618" ht="15.75" customHeight="1">
      <c r="I618" s="40"/>
    </row>
    <row r="619" ht="15.75" customHeight="1">
      <c r="I619" s="40"/>
    </row>
    <row r="620" ht="15.75" customHeight="1">
      <c r="I620" s="40"/>
    </row>
    <row r="621" ht="15.75" customHeight="1">
      <c r="I621" s="40"/>
    </row>
    <row r="622" ht="15.75" customHeight="1">
      <c r="I622" s="40"/>
    </row>
    <row r="623" ht="15.75" customHeight="1">
      <c r="I623" s="40"/>
    </row>
    <row r="624" ht="15.75" customHeight="1">
      <c r="I624" s="40"/>
    </row>
    <row r="625" ht="15.75" customHeight="1">
      <c r="I625" s="40"/>
    </row>
    <row r="626" ht="15.75" customHeight="1">
      <c r="I626" s="40"/>
    </row>
    <row r="627" ht="15.75" customHeight="1">
      <c r="I627" s="40"/>
    </row>
    <row r="628" ht="15.75" customHeight="1">
      <c r="I628" s="40"/>
    </row>
    <row r="629" ht="15.75" customHeight="1">
      <c r="I629" s="40"/>
    </row>
    <row r="630" ht="15.75" customHeight="1">
      <c r="I630" s="40"/>
    </row>
    <row r="631" ht="15.75" customHeight="1">
      <c r="I631" s="40"/>
    </row>
    <row r="632" ht="15.75" customHeight="1">
      <c r="I632" s="40"/>
    </row>
    <row r="633" ht="15.75" customHeight="1">
      <c r="I633" s="40"/>
    </row>
    <row r="634" ht="15.75" customHeight="1">
      <c r="I634" s="40"/>
    </row>
    <row r="635" ht="15.75" customHeight="1">
      <c r="I635" s="40"/>
    </row>
    <row r="636" ht="15.75" customHeight="1">
      <c r="I636" s="40"/>
    </row>
    <row r="637" ht="15.75" customHeight="1">
      <c r="I637" s="40"/>
    </row>
    <row r="638" ht="15.75" customHeight="1">
      <c r="I638" s="40"/>
    </row>
    <row r="639" ht="15.75" customHeight="1">
      <c r="I639" s="40"/>
    </row>
    <row r="640" ht="15.75" customHeight="1">
      <c r="I640" s="40"/>
    </row>
    <row r="641" ht="15.75" customHeight="1">
      <c r="I641" s="40"/>
    </row>
    <row r="642" ht="15.75" customHeight="1">
      <c r="I642" s="40"/>
    </row>
    <row r="643" ht="15.75" customHeight="1">
      <c r="I643" s="40"/>
    </row>
    <row r="644" ht="15.75" customHeight="1">
      <c r="I644" s="40"/>
    </row>
    <row r="645" ht="15.75" customHeight="1">
      <c r="I645" s="40"/>
    </row>
    <row r="646" ht="15.75" customHeight="1">
      <c r="I646" s="40"/>
    </row>
    <row r="647" ht="15.75" customHeight="1">
      <c r="I647" s="40"/>
    </row>
    <row r="648" ht="15.75" customHeight="1">
      <c r="I648" s="40"/>
    </row>
    <row r="649" ht="15.75" customHeight="1">
      <c r="I649" s="40"/>
    </row>
    <row r="650" ht="15.75" customHeight="1">
      <c r="I650" s="40"/>
    </row>
    <row r="651" ht="15.75" customHeight="1">
      <c r="I651" s="40"/>
    </row>
    <row r="652" ht="15.75" customHeight="1">
      <c r="I652" s="40"/>
    </row>
    <row r="653" ht="15.75" customHeight="1">
      <c r="I653" s="40"/>
    </row>
    <row r="654" ht="15.75" customHeight="1">
      <c r="I654" s="40"/>
    </row>
    <row r="655" ht="15.75" customHeight="1">
      <c r="I655" s="40"/>
    </row>
    <row r="656" ht="15.75" customHeight="1">
      <c r="I656" s="40"/>
    </row>
    <row r="657" ht="15.75" customHeight="1">
      <c r="I657" s="40"/>
    </row>
    <row r="658" ht="15.75" customHeight="1">
      <c r="I658" s="40"/>
    </row>
    <row r="659" ht="15.75" customHeight="1">
      <c r="I659" s="40"/>
    </row>
    <row r="660" ht="15.75" customHeight="1">
      <c r="I660" s="40"/>
    </row>
    <row r="661" ht="15.75" customHeight="1">
      <c r="I661" s="40"/>
    </row>
    <row r="662" ht="15.75" customHeight="1">
      <c r="I662" s="40"/>
    </row>
    <row r="663" ht="15.75" customHeight="1">
      <c r="I663" s="40"/>
    </row>
    <row r="664" ht="15.75" customHeight="1">
      <c r="I664" s="40"/>
    </row>
    <row r="665" ht="15.75" customHeight="1">
      <c r="I665" s="40"/>
    </row>
    <row r="666" ht="15.75" customHeight="1">
      <c r="I666" s="40"/>
    </row>
    <row r="667" ht="15.75" customHeight="1">
      <c r="I667" s="40"/>
    </row>
    <row r="668" ht="15.75" customHeight="1">
      <c r="I668" s="40"/>
    </row>
    <row r="669" ht="15.75" customHeight="1">
      <c r="I669" s="40"/>
    </row>
    <row r="670" ht="15.75" customHeight="1">
      <c r="I670" s="40"/>
    </row>
    <row r="671" ht="15.75" customHeight="1">
      <c r="I671" s="40"/>
    </row>
    <row r="672" ht="15.75" customHeight="1">
      <c r="I672" s="40"/>
    </row>
    <row r="673" ht="15.75" customHeight="1">
      <c r="I673" s="40"/>
    </row>
    <row r="674" ht="15.75" customHeight="1">
      <c r="I674" s="40"/>
    </row>
    <row r="675" ht="15.75" customHeight="1">
      <c r="I675" s="40"/>
    </row>
    <row r="676" ht="15.75" customHeight="1">
      <c r="I676" s="40"/>
    </row>
    <row r="677" ht="15.75" customHeight="1">
      <c r="I677" s="40"/>
    </row>
    <row r="678" ht="15.75" customHeight="1">
      <c r="I678" s="40"/>
    </row>
    <row r="679" ht="15.75" customHeight="1">
      <c r="I679" s="40"/>
    </row>
    <row r="680" ht="15.75" customHeight="1">
      <c r="I680" s="40"/>
    </row>
    <row r="681" ht="15.75" customHeight="1">
      <c r="I681" s="40"/>
    </row>
    <row r="682" ht="15.75" customHeight="1">
      <c r="I682" s="40"/>
    </row>
    <row r="683" ht="15.75" customHeight="1">
      <c r="I683" s="40"/>
    </row>
    <row r="684" ht="15.75" customHeight="1">
      <c r="I684" s="40"/>
    </row>
    <row r="685" ht="15.75" customHeight="1">
      <c r="I685" s="40"/>
    </row>
    <row r="686" ht="15.75" customHeight="1">
      <c r="I686" s="40"/>
    </row>
    <row r="687" ht="15.75" customHeight="1">
      <c r="I687" s="40"/>
    </row>
    <row r="688" ht="15.75" customHeight="1">
      <c r="I688" s="40"/>
    </row>
    <row r="689" ht="15.75" customHeight="1">
      <c r="I689" s="40"/>
    </row>
    <row r="690" ht="15.75" customHeight="1">
      <c r="I690" s="40"/>
    </row>
    <row r="691" ht="15.75" customHeight="1">
      <c r="I691" s="40"/>
    </row>
    <row r="692" ht="15.75" customHeight="1">
      <c r="I692" s="40"/>
    </row>
    <row r="693" ht="15.75" customHeight="1">
      <c r="I693" s="40"/>
    </row>
    <row r="694" ht="15.75" customHeight="1">
      <c r="I694" s="40"/>
    </row>
    <row r="695" ht="15.75" customHeight="1">
      <c r="I695" s="40"/>
    </row>
    <row r="696" ht="15.75" customHeight="1">
      <c r="I696" s="40"/>
    </row>
    <row r="697" ht="15.75" customHeight="1">
      <c r="I697" s="40"/>
    </row>
    <row r="698" ht="15.75" customHeight="1">
      <c r="I698" s="40"/>
    </row>
    <row r="699" ht="15.75" customHeight="1">
      <c r="I699" s="40"/>
    </row>
    <row r="700" ht="15.75" customHeight="1">
      <c r="I700" s="40"/>
    </row>
    <row r="701" ht="15.75" customHeight="1">
      <c r="I701" s="40"/>
    </row>
    <row r="702" ht="15.75" customHeight="1">
      <c r="I702" s="40"/>
    </row>
    <row r="703" ht="15.75" customHeight="1">
      <c r="I703" s="40"/>
    </row>
    <row r="704" ht="15.75" customHeight="1">
      <c r="I704" s="40"/>
    </row>
    <row r="705" ht="15.75" customHeight="1">
      <c r="I705" s="40"/>
    </row>
    <row r="706" ht="15.75" customHeight="1">
      <c r="I706" s="40"/>
    </row>
    <row r="707" ht="15.75" customHeight="1">
      <c r="I707" s="40"/>
    </row>
    <row r="708" ht="15.75" customHeight="1">
      <c r="I708" s="40"/>
    </row>
    <row r="709" ht="15.75" customHeight="1">
      <c r="I709" s="40"/>
    </row>
    <row r="710" ht="15.75" customHeight="1">
      <c r="I710" s="40"/>
    </row>
    <row r="711" ht="15.75" customHeight="1">
      <c r="I711" s="40"/>
    </row>
    <row r="712" ht="15.75" customHeight="1">
      <c r="I712" s="40"/>
    </row>
    <row r="713" ht="15.75" customHeight="1">
      <c r="I713" s="40"/>
    </row>
    <row r="714" ht="15.75" customHeight="1">
      <c r="I714" s="40"/>
    </row>
    <row r="715" ht="15.75" customHeight="1">
      <c r="I715" s="40"/>
    </row>
    <row r="716" ht="15.75" customHeight="1">
      <c r="I716" s="40"/>
    </row>
    <row r="717" ht="15.75" customHeight="1">
      <c r="I717" s="40"/>
    </row>
    <row r="718" ht="15.75" customHeight="1">
      <c r="I718" s="40"/>
    </row>
    <row r="719" ht="15.75" customHeight="1">
      <c r="I719" s="40"/>
    </row>
    <row r="720" ht="15.75" customHeight="1">
      <c r="I720" s="40"/>
    </row>
    <row r="721" ht="15.75" customHeight="1">
      <c r="I721" s="40"/>
    </row>
    <row r="722" ht="15.75" customHeight="1">
      <c r="I722" s="40"/>
    </row>
    <row r="723" ht="15.75" customHeight="1">
      <c r="I723" s="40"/>
    </row>
    <row r="724" ht="15.75" customHeight="1">
      <c r="I724" s="40"/>
    </row>
    <row r="725" ht="15.75" customHeight="1">
      <c r="I725" s="40"/>
    </row>
    <row r="726" ht="15.75" customHeight="1">
      <c r="I726" s="40"/>
    </row>
    <row r="727" ht="15.75" customHeight="1">
      <c r="I727" s="40"/>
    </row>
    <row r="728" ht="15.75" customHeight="1">
      <c r="I728" s="40"/>
    </row>
    <row r="729" ht="15.75" customHeight="1">
      <c r="I729" s="40"/>
    </row>
    <row r="730" ht="15.75" customHeight="1">
      <c r="I730" s="40"/>
    </row>
    <row r="731" ht="15.75" customHeight="1">
      <c r="I731" s="40"/>
    </row>
    <row r="732" ht="15.75" customHeight="1">
      <c r="I732" s="40"/>
    </row>
    <row r="733" ht="15.75" customHeight="1">
      <c r="I733" s="40"/>
    </row>
    <row r="734" ht="15.75" customHeight="1">
      <c r="I734" s="40"/>
    </row>
    <row r="735" ht="15.75" customHeight="1">
      <c r="I735" s="40"/>
    </row>
    <row r="736" ht="15.75" customHeight="1">
      <c r="I736" s="40"/>
    </row>
    <row r="737" ht="15.75" customHeight="1">
      <c r="I737" s="40"/>
    </row>
    <row r="738" ht="15.75" customHeight="1">
      <c r="I738" s="40"/>
    </row>
    <row r="739" ht="15.75" customHeight="1">
      <c r="I739" s="40"/>
    </row>
    <row r="740" ht="15.75" customHeight="1">
      <c r="I740" s="40"/>
    </row>
    <row r="741" ht="15.75" customHeight="1">
      <c r="I741" s="40"/>
    </row>
    <row r="742" ht="15.75" customHeight="1">
      <c r="I742" s="40"/>
    </row>
    <row r="743" ht="15.75" customHeight="1">
      <c r="I743" s="40"/>
    </row>
    <row r="744" ht="15.75" customHeight="1">
      <c r="I744" s="40"/>
    </row>
    <row r="745" ht="15.75" customHeight="1">
      <c r="I745" s="40"/>
    </row>
    <row r="746" ht="15.75" customHeight="1">
      <c r="I746" s="40"/>
    </row>
    <row r="747" ht="15.75" customHeight="1">
      <c r="I747" s="40"/>
    </row>
    <row r="748" ht="15.75" customHeight="1">
      <c r="I748" s="40"/>
    </row>
    <row r="749" ht="15.75" customHeight="1">
      <c r="I749" s="40"/>
    </row>
    <row r="750" ht="15.75" customHeight="1">
      <c r="I750" s="40"/>
    </row>
    <row r="751" ht="15.75" customHeight="1">
      <c r="I751" s="40"/>
    </row>
    <row r="752" ht="15.75" customHeight="1">
      <c r="I752" s="40"/>
    </row>
    <row r="753" ht="15.75" customHeight="1">
      <c r="I753" s="40"/>
    </row>
    <row r="754" ht="15.75" customHeight="1">
      <c r="I754" s="40"/>
    </row>
    <row r="755" ht="15.75" customHeight="1">
      <c r="I755" s="40"/>
    </row>
    <row r="756" ht="15.75" customHeight="1">
      <c r="I756" s="40"/>
    </row>
    <row r="757" ht="15.75" customHeight="1">
      <c r="I757" s="40"/>
    </row>
    <row r="758" ht="15.75" customHeight="1">
      <c r="I758" s="40"/>
    </row>
    <row r="759" ht="15.75" customHeight="1">
      <c r="I759" s="40"/>
    </row>
    <row r="760" ht="15.75" customHeight="1">
      <c r="I760" s="40"/>
    </row>
    <row r="761" ht="15.75" customHeight="1">
      <c r="I761" s="40"/>
    </row>
    <row r="762" ht="15.75" customHeight="1">
      <c r="I762" s="40"/>
    </row>
    <row r="763" ht="15.75" customHeight="1">
      <c r="I763" s="40"/>
    </row>
    <row r="764" ht="15.75" customHeight="1">
      <c r="I764" s="40"/>
    </row>
    <row r="765" ht="15.75" customHeight="1">
      <c r="I765" s="40"/>
    </row>
    <row r="766" ht="15.75" customHeight="1">
      <c r="I766" s="40"/>
    </row>
    <row r="767" ht="15.75" customHeight="1">
      <c r="I767" s="40"/>
    </row>
    <row r="768" ht="15.75" customHeight="1">
      <c r="I768" s="40"/>
    </row>
    <row r="769" ht="15.75" customHeight="1">
      <c r="I769" s="40"/>
    </row>
    <row r="770" ht="15.75" customHeight="1">
      <c r="I770" s="40"/>
    </row>
    <row r="771" ht="15.75" customHeight="1">
      <c r="I771" s="40"/>
    </row>
    <row r="772" ht="15.75" customHeight="1">
      <c r="I772" s="40"/>
    </row>
    <row r="773" ht="15.75" customHeight="1">
      <c r="I773" s="40"/>
    </row>
    <row r="774" ht="15.75" customHeight="1">
      <c r="I774" s="40"/>
    </row>
    <row r="775" ht="15.75" customHeight="1">
      <c r="I775" s="40"/>
    </row>
    <row r="776" ht="15.75" customHeight="1">
      <c r="I776" s="40"/>
    </row>
    <row r="777" ht="15.75" customHeight="1">
      <c r="I777" s="40"/>
    </row>
    <row r="778" ht="15.75" customHeight="1">
      <c r="I778" s="40"/>
    </row>
    <row r="779" ht="15.75" customHeight="1">
      <c r="I779" s="40"/>
    </row>
    <row r="780" ht="15.75" customHeight="1">
      <c r="I780" s="40"/>
    </row>
    <row r="781" ht="15.75" customHeight="1">
      <c r="I781" s="40"/>
    </row>
    <row r="782" ht="15.75" customHeight="1">
      <c r="I782" s="40"/>
    </row>
    <row r="783" ht="15.75" customHeight="1">
      <c r="I783" s="40"/>
    </row>
    <row r="784" ht="15.75" customHeight="1">
      <c r="I784" s="40"/>
    </row>
    <row r="785" ht="15.75" customHeight="1">
      <c r="I785" s="40"/>
    </row>
    <row r="786" ht="15.75" customHeight="1">
      <c r="I786" s="40"/>
    </row>
    <row r="787" ht="15.75" customHeight="1">
      <c r="I787" s="40"/>
    </row>
    <row r="788" ht="15.75" customHeight="1">
      <c r="I788" s="40"/>
    </row>
    <row r="789" ht="15.75" customHeight="1">
      <c r="I789" s="40"/>
    </row>
    <row r="790" ht="15.75" customHeight="1">
      <c r="I790" s="40"/>
    </row>
    <row r="791" ht="15.75" customHeight="1">
      <c r="I791" s="40"/>
    </row>
    <row r="792" ht="15.75" customHeight="1">
      <c r="I792" s="40"/>
    </row>
    <row r="793" ht="15.75" customHeight="1">
      <c r="I793" s="40"/>
    </row>
    <row r="794" ht="15.75" customHeight="1">
      <c r="I794" s="40"/>
    </row>
    <row r="795" ht="15.75" customHeight="1">
      <c r="I795" s="40"/>
    </row>
    <row r="796" ht="15.75" customHeight="1">
      <c r="I796" s="40"/>
    </row>
    <row r="797" ht="15.75" customHeight="1">
      <c r="I797" s="40"/>
    </row>
    <row r="798" ht="15.75" customHeight="1">
      <c r="I798" s="40"/>
    </row>
    <row r="799" ht="15.75" customHeight="1">
      <c r="I799" s="40"/>
    </row>
    <row r="800" ht="15.75" customHeight="1">
      <c r="I800" s="40"/>
    </row>
    <row r="801" ht="15.75" customHeight="1">
      <c r="I801" s="40"/>
    </row>
    <row r="802" ht="15.75" customHeight="1">
      <c r="I802" s="40"/>
    </row>
    <row r="803" ht="15.75" customHeight="1">
      <c r="I803" s="40"/>
    </row>
    <row r="804" ht="15.75" customHeight="1">
      <c r="I804" s="40"/>
    </row>
    <row r="805" ht="15.75" customHeight="1">
      <c r="I805" s="40"/>
    </row>
    <row r="806" ht="15.75" customHeight="1">
      <c r="I806" s="40"/>
    </row>
    <row r="807" ht="15.75" customHeight="1">
      <c r="I807" s="40"/>
    </row>
    <row r="808" ht="15.75" customHeight="1">
      <c r="I808" s="40"/>
    </row>
    <row r="809" ht="15.75" customHeight="1">
      <c r="I809" s="40"/>
    </row>
    <row r="810" ht="15.75" customHeight="1">
      <c r="I810" s="40"/>
    </row>
    <row r="811" ht="15.75" customHeight="1">
      <c r="I811" s="40"/>
    </row>
    <row r="812" ht="15.75" customHeight="1">
      <c r="I812" s="40"/>
    </row>
    <row r="813" ht="15.75" customHeight="1">
      <c r="I813" s="40"/>
    </row>
    <row r="814" ht="15.75" customHeight="1">
      <c r="I814" s="40"/>
    </row>
    <row r="815" ht="15.75" customHeight="1">
      <c r="I815" s="40"/>
    </row>
    <row r="816" ht="15.75" customHeight="1">
      <c r="I816" s="40"/>
    </row>
    <row r="817" ht="15.75" customHeight="1">
      <c r="I817" s="40"/>
    </row>
    <row r="818" ht="15.75" customHeight="1">
      <c r="I818" s="40"/>
    </row>
    <row r="819" ht="15.75" customHeight="1">
      <c r="I819" s="40"/>
    </row>
    <row r="820" ht="15.75" customHeight="1">
      <c r="I820" s="40"/>
    </row>
    <row r="821" ht="15.75" customHeight="1">
      <c r="I821" s="40"/>
    </row>
    <row r="822" ht="15.75" customHeight="1">
      <c r="I822" s="40"/>
    </row>
    <row r="823" ht="15.75" customHeight="1">
      <c r="I823" s="40"/>
    </row>
    <row r="824" ht="15.75" customHeight="1">
      <c r="I824" s="40"/>
    </row>
    <row r="825" ht="15.75" customHeight="1">
      <c r="I825" s="40"/>
    </row>
    <row r="826" ht="15.75" customHeight="1">
      <c r="I826" s="40"/>
    </row>
    <row r="827" ht="15.75" customHeight="1">
      <c r="I827" s="40"/>
    </row>
    <row r="828" ht="15.75" customHeight="1">
      <c r="I828" s="40"/>
    </row>
    <row r="829" ht="15.75" customHeight="1">
      <c r="I829" s="40"/>
    </row>
    <row r="830" ht="15.75" customHeight="1">
      <c r="I830" s="40"/>
    </row>
    <row r="831" ht="15.75" customHeight="1">
      <c r="I831" s="40"/>
    </row>
    <row r="832" ht="15.75" customHeight="1">
      <c r="I832" s="40"/>
    </row>
    <row r="833" ht="15.75" customHeight="1">
      <c r="I833" s="40"/>
    </row>
    <row r="834" ht="15.75" customHeight="1">
      <c r="I834" s="40"/>
    </row>
    <row r="835" ht="15.75" customHeight="1">
      <c r="I835" s="40"/>
    </row>
    <row r="836" ht="15.75" customHeight="1">
      <c r="I836" s="40"/>
    </row>
    <row r="837" ht="15.75" customHeight="1">
      <c r="I837" s="40"/>
    </row>
    <row r="838" ht="15.75" customHeight="1">
      <c r="I838" s="40"/>
    </row>
    <row r="839" ht="15.75" customHeight="1">
      <c r="I839" s="40"/>
    </row>
    <row r="840" ht="15.75" customHeight="1">
      <c r="I840" s="40"/>
    </row>
    <row r="841" ht="15.75" customHeight="1">
      <c r="I841" s="40"/>
    </row>
    <row r="842" ht="15.75" customHeight="1">
      <c r="I842" s="40"/>
    </row>
    <row r="843" ht="15.75" customHeight="1">
      <c r="I843" s="40"/>
    </row>
    <row r="844" ht="15.75" customHeight="1">
      <c r="I844" s="40"/>
    </row>
    <row r="845" ht="15.75" customHeight="1">
      <c r="I845" s="40"/>
    </row>
    <row r="846" ht="15.75" customHeight="1">
      <c r="I846" s="40"/>
    </row>
    <row r="847" ht="15.75" customHeight="1">
      <c r="I847" s="40"/>
    </row>
    <row r="848" ht="15.75" customHeight="1">
      <c r="I848" s="40"/>
    </row>
    <row r="849" ht="15.75" customHeight="1">
      <c r="I849" s="40"/>
    </row>
    <row r="850" ht="15.75" customHeight="1">
      <c r="I850" s="40"/>
    </row>
    <row r="851" ht="15.75" customHeight="1">
      <c r="I851" s="40"/>
    </row>
    <row r="852" ht="15.75" customHeight="1">
      <c r="I852" s="40"/>
    </row>
    <row r="853" ht="15.75" customHeight="1">
      <c r="I853" s="40"/>
    </row>
    <row r="854" ht="15.75" customHeight="1">
      <c r="I854" s="40"/>
    </row>
    <row r="855" ht="15.75" customHeight="1">
      <c r="I855" s="40"/>
    </row>
    <row r="856" ht="15.75" customHeight="1">
      <c r="I856" s="40"/>
    </row>
    <row r="857" ht="15.75" customHeight="1">
      <c r="I857" s="40"/>
    </row>
    <row r="858" ht="15.75" customHeight="1">
      <c r="I858" s="40"/>
    </row>
    <row r="859" ht="15.75" customHeight="1">
      <c r="I859" s="40"/>
    </row>
    <row r="860" ht="15.75" customHeight="1">
      <c r="I860" s="40"/>
    </row>
    <row r="861" ht="15.75" customHeight="1">
      <c r="I861" s="40"/>
    </row>
    <row r="862" ht="15.75" customHeight="1">
      <c r="I862" s="40"/>
    </row>
    <row r="863" ht="15.75" customHeight="1">
      <c r="I863" s="40"/>
    </row>
    <row r="864" ht="15.75" customHeight="1">
      <c r="I864" s="40"/>
    </row>
    <row r="865" ht="15.75" customHeight="1">
      <c r="I865" s="40"/>
    </row>
    <row r="866" ht="15.75" customHeight="1">
      <c r="I866" s="40"/>
    </row>
    <row r="867" ht="15.75" customHeight="1">
      <c r="I867" s="40"/>
    </row>
    <row r="868" ht="15.75" customHeight="1">
      <c r="I868" s="40"/>
    </row>
    <row r="869" ht="15.75" customHeight="1">
      <c r="I869" s="40"/>
    </row>
    <row r="870" ht="15.75" customHeight="1">
      <c r="I870" s="40"/>
    </row>
    <row r="871" ht="15.75" customHeight="1">
      <c r="I871" s="40"/>
    </row>
    <row r="872" ht="15.75" customHeight="1">
      <c r="I872" s="40"/>
    </row>
    <row r="873" ht="15.75" customHeight="1">
      <c r="I873" s="40"/>
    </row>
    <row r="874" ht="15.75" customHeight="1">
      <c r="I874" s="40"/>
    </row>
    <row r="875" ht="15.75" customHeight="1">
      <c r="I875" s="40"/>
    </row>
    <row r="876" ht="15.75" customHeight="1">
      <c r="I876" s="40"/>
    </row>
    <row r="877" ht="15.75" customHeight="1">
      <c r="I877" s="40"/>
    </row>
    <row r="878" ht="15.75" customHeight="1">
      <c r="I878" s="40"/>
    </row>
    <row r="879" ht="15.75" customHeight="1">
      <c r="I879" s="40"/>
    </row>
    <row r="880" ht="15.75" customHeight="1">
      <c r="I880" s="40"/>
    </row>
    <row r="881" ht="15.75" customHeight="1">
      <c r="I881" s="40"/>
    </row>
    <row r="882" ht="15.75" customHeight="1">
      <c r="I882" s="40"/>
    </row>
    <row r="883" ht="15.75" customHeight="1">
      <c r="I883" s="40"/>
    </row>
    <row r="884" ht="15.75" customHeight="1">
      <c r="I884" s="40"/>
    </row>
    <row r="885" ht="15.75" customHeight="1">
      <c r="I885" s="40"/>
    </row>
    <row r="886" ht="15.75" customHeight="1">
      <c r="I886" s="40"/>
    </row>
    <row r="887" ht="15.75" customHeight="1">
      <c r="I887" s="40"/>
    </row>
    <row r="888" ht="15.75" customHeight="1">
      <c r="I888" s="40"/>
    </row>
    <row r="889" ht="15.75" customHeight="1">
      <c r="I889" s="40"/>
    </row>
    <row r="890" ht="15.75" customHeight="1">
      <c r="I890" s="40"/>
    </row>
    <row r="891" ht="15.75" customHeight="1">
      <c r="I891" s="40"/>
    </row>
    <row r="892" ht="15.75" customHeight="1">
      <c r="I892" s="40"/>
    </row>
    <row r="893" ht="15.75" customHeight="1">
      <c r="I893" s="40"/>
    </row>
    <row r="894" ht="15.75" customHeight="1">
      <c r="I894" s="40"/>
    </row>
    <row r="895" ht="15.75" customHeight="1">
      <c r="I895" s="40"/>
    </row>
    <row r="896" ht="15.75" customHeight="1">
      <c r="I896" s="40"/>
    </row>
    <row r="897" ht="15.75" customHeight="1">
      <c r="I897" s="40"/>
    </row>
    <row r="898" ht="15.75" customHeight="1">
      <c r="I898" s="40"/>
    </row>
    <row r="899" ht="15.75" customHeight="1">
      <c r="I899" s="40"/>
    </row>
    <row r="900" ht="15.75" customHeight="1">
      <c r="I900" s="40"/>
    </row>
    <row r="901" ht="15.75" customHeight="1">
      <c r="I901" s="40"/>
    </row>
    <row r="902" ht="15.75" customHeight="1">
      <c r="I902" s="40"/>
    </row>
    <row r="903" ht="15.75" customHeight="1">
      <c r="I903" s="40"/>
    </row>
    <row r="904" ht="15.75" customHeight="1">
      <c r="I904" s="40"/>
    </row>
    <row r="905" ht="15.75" customHeight="1">
      <c r="I905" s="40"/>
    </row>
    <row r="906" ht="15.75" customHeight="1">
      <c r="I906" s="40"/>
    </row>
    <row r="907" ht="15.75" customHeight="1">
      <c r="I907" s="40"/>
    </row>
    <row r="908" ht="15.75" customHeight="1">
      <c r="I908" s="40"/>
    </row>
    <row r="909" ht="15.75" customHeight="1">
      <c r="I909" s="40"/>
    </row>
    <row r="910" ht="15.75" customHeight="1">
      <c r="I910" s="40"/>
    </row>
    <row r="911" ht="15.75" customHeight="1">
      <c r="I911" s="40"/>
    </row>
    <row r="912" ht="15.75" customHeight="1">
      <c r="I912" s="40"/>
    </row>
    <row r="913" ht="15.75" customHeight="1">
      <c r="I913" s="40"/>
    </row>
    <row r="914" ht="15.75" customHeight="1">
      <c r="I914" s="40"/>
    </row>
    <row r="915" ht="15.75" customHeight="1">
      <c r="I915" s="40"/>
    </row>
    <row r="916" ht="15.75" customHeight="1">
      <c r="I916" s="40"/>
    </row>
    <row r="917" ht="15.75" customHeight="1">
      <c r="I917" s="40"/>
    </row>
    <row r="918" ht="15.75" customHeight="1">
      <c r="I918" s="40"/>
    </row>
    <row r="919" ht="15.75" customHeight="1">
      <c r="I919" s="40"/>
    </row>
    <row r="920" ht="15.75" customHeight="1">
      <c r="I920" s="40"/>
    </row>
    <row r="921" ht="15.75" customHeight="1">
      <c r="I921" s="40"/>
    </row>
    <row r="922" ht="15.75" customHeight="1">
      <c r="I922" s="40"/>
    </row>
    <row r="923" ht="15.75" customHeight="1">
      <c r="I923" s="40"/>
    </row>
    <row r="924" ht="15.75" customHeight="1">
      <c r="I924" s="40"/>
    </row>
    <row r="925" ht="15.75" customHeight="1">
      <c r="I925" s="40"/>
    </row>
    <row r="926" ht="15.75" customHeight="1">
      <c r="I926" s="40"/>
    </row>
    <row r="927" ht="15.75" customHeight="1">
      <c r="I927" s="40"/>
    </row>
    <row r="928" ht="15.75" customHeight="1">
      <c r="I928" s="40"/>
    </row>
    <row r="929" ht="15.75" customHeight="1">
      <c r="I929" s="40"/>
    </row>
    <row r="930" ht="15.75" customHeight="1">
      <c r="I930" s="40"/>
    </row>
    <row r="931" ht="15.75" customHeight="1">
      <c r="I931" s="40"/>
    </row>
    <row r="932" ht="15.75" customHeight="1">
      <c r="I932" s="40"/>
    </row>
    <row r="933" ht="15.75" customHeight="1">
      <c r="I933" s="40"/>
    </row>
    <row r="934" ht="15.75" customHeight="1">
      <c r="I934" s="40"/>
    </row>
    <row r="935" ht="15.75" customHeight="1">
      <c r="I935" s="40"/>
    </row>
    <row r="936" ht="15.75" customHeight="1">
      <c r="I936" s="40"/>
    </row>
    <row r="937" ht="15.75" customHeight="1">
      <c r="I937" s="40"/>
    </row>
    <row r="938" ht="15.75" customHeight="1">
      <c r="I938" s="40"/>
    </row>
    <row r="939" ht="15.75" customHeight="1">
      <c r="I939" s="40"/>
    </row>
    <row r="940" ht="15.75" customHeight="1">
      <c r="I940" s="40"/>
    </row>
    <row r="941" ht="15.75" customHeight="1">
      <c r="I941" s="40"/>
    </row>
    <row r="942" ht="15.75" customHeight="1">
      <c r="I942" s="40"/>
    </row>
    <row r="943" ht="15.75" customHeight="1">
      <c r="I943" s="40"/>
    </row>
    <row r="944" ht="15.75" customHeight="1">
      <c r="I944" s="40"/>
    </row>
    <row r="945" ht="15.75" customHeight="1">
      <c r="I945" s="40"/>
    </row>
    <row r="946" ht="15.75" customHeight="1">
      <c r="I946" s="40"/>
    </row>
    <row r="947" ht="15.75" customHeight="1">
      <c r="I947" s="40"/>
    </row>
    <row r="948" ht="15.75" customHeight="1">
      <c r="I948" s="40"/>
    </row>
    <row r="949" ht="15.75" customHeight="1">
      <c r="I949" s="40"/>
    </row>
    <row r="950" ht="15.75" customHeight="1">
      <c r="I950" s="40"/>
    </row>
    <row r="951" ht="15.75" customHeight="1">
      <c r="I951" s="40"/>
    </row>
    <row r="952" ht="15.75" customHeight="1">
      <c r="I952" s="40"/>
    </row>
    <row r="953" ht="15.75" customHeight="1">
      <c r="I953" s="40"/>
    </row>
    <row r="954" ht="15.75" customHeight="1">
      <c r="I954" s="40"/>
    </row>
    <row r="955" ht="15.75" customHeight="1">
      <c r="I955" s="40"/>
    </row>
    <row r="956" ht="15.75" customHeight="1">
      <c r="I956" s="40"/>
    </row>
    <row r="957" ht="15.75" customHeight="1">
      <c r="I957" s="40"/>
    </row>
    <row r="958" ht="15.75" customHeight="1">
      <c r="I958" s="40"/>
    </row>
    <row r="959" ht="15.75" customHeight="1">
      <c r="I959" s="40"/>
    </row>
    <row r="960" ht="15.75" customHeight="1">
      <c r="I960" s="40"/>
    </row>
    <row r="961" ht="15.75" customHeight="1">
      <c r="I961" s="40"/>
    </row>
    <row r="962" ht="15.75" customHeight="1">
      <c r="I962" s="40"/>
    </row>
    <row r="963" ht="15.75" customHeight="1">
      <c r="I963" s="40"/>
    </row>
    <row r="964" ht="15.75" customHeight="1">
      <c r="I964" s="40"/>
    </row>
    <row r="965" ht="15.75" customHeight="1">
      <c r="I965" s="40"/>
    </row>
    <row r="966" ht="15.75" customHeight="1">
      <c r="I966" s="40"/>
    </row>
    <row r="967" ht="15.75" customHeight="1">
      <c r="I967" s="40"/>
    </row>
    <row r="968" ht="15.75" customHeight="1">
      <c r="I968" s="40"/>
    </row>
    <row r="969" ht="15.75" customHeight="1">
      <c r="I969" s="40"/>
    </row>
    <row r="970" ht="15.75" customHeight="1">
      <c r="I970" s="40"/>
    </row>
    <row r="971" ht="15.75" customHeight="1">
      <c r="I971" s="40"/>
    </row>
    <row r="972" ht="15.75" customHeight="1">
      <c r="I972" s="40"/>
    </row>
    <row r="973" ht="15.75" customHeight="1">
      <c r="I973" s="40"/>
    </row>
    <row r="974" ht="15.75" customHeight="1">
      <c r="I974" s="40"/>
    </row>
    <row r="975" ht="15.75" customHeight="1">
      <c r="I975" s="40"/>
    </row>
    <row r="976" ht="15.75" customHeight="1">
      <c r="I976" s="40"/>
    </row>
    <row r="977" ht="15.75" customHeight="1">
      <c r="I977" s="40"/>
    </row>
    <row r="978" ht="15.75" customHeight="1">
      <c r="I978" s="40"/>
    </row>
    <row r="979" ht="15.75" customHeight="1">
      <c r="I979" s="40"/>
    </row>
    <row r="980" ht="15.75" customHeight="1">
      <c r="I980" s="40"/>
    </row>
    <row r="981" ht="15.75" customHeight="1">
      <c r="I981" s="40"/>
    </row>
    <row r="982" ht="15.75" customHeight="1">
      <c r="I982" s="40"/>
    </row>
    <row r="983" ht="15.75" customHeight="1">
      <c r="I983" s="40"/>
    </row>
    <row r="984" ht="15.75" customHeight="1">
      <c r="I984" s="40"/>
    </row>
    <row r="985" ht="15.75" customHeight="1">
      <c r="I985" s="40"/>
    </row>
    <row r="986" ht="15.75" customHeight="1">
      <c r="I986" s="40"/>
    </row>
    <row r="987" ht="15.75" customHeight="1">
      <c r="I987" s="40"/>
    </row>
    <row r="988" ht="15.75" customHeight="1">
      <c r="I988" s="40"/>
    </row>
    <row r="989" ht="15.75" customHeight="1">
      <c r="I989" s="40"/>
    </row>
    <row r="990" ht="15.75" customHeight="1">
      <c r="I990" s="40"/>
    </row>
    <row r="991" ht="15.75" customHeight="1">
      <c r="I991" s="40"/>
    </row>
    <row r="992" ht="15.75" customHeight="1">
      <c r="I992" s="40"/>
    </row>
    <row r="993" ht="15.75" customHeight="1">
      <c r="I993" s="40"/>
    </row>
    <row r="994" ht="15.75" customHeight="1">
      <c r="I994" s="40"/>
    </row>
    <row r="995" ht="15.75" customHeight="1">
      <c r="I995" s="40"/>
    </row>
    <row r="996" ht="15.75" customHeight="1">
      <c r="I996" s="40"/>
    </row>
    <row r="997" ht="15.75" customHeight="1">
      <c r="I997" s="40"/>
    </row>
    <row r="998" ht="15.75" customHeight="1">
      <c r="I998" s="40"/>
    </row>
    <row r="999" ht="15.75" customHeight="1">
      <c r="I999" s="40"/>
    </row>
    <row r="1000" ht="15.75" customHeight="1">
      <c r="I1000" s="40"/>
    </row>
    <row r="1001" ht="15.75" customHeight="1">
      <c r="I1001" s="40"/>
    </row>
    <row r="1002" ht="15.75" customHeight="1">
      <c r="I1002" s="40"/>
    </row>
    <row r="1003" ht="15.75" customHeight="1">
      <c r="I1003" s="40"/>
    </row>
    <row r="1004" ht="15.75" customHeight="1">
      <c r="I1004" s="40"/>
    </row>
    <row r="1005" ht="15.75" customHeight="1">
      <c r="I1005" s="40"/>
    </row>
    <row r="1006" ht="15.75" customHeight="1">
      <c r="I1006" s="40"/>
    </row>
    <row r="1007" ht="15.75" customHeight="1">
      <c r="I1007" s="40"/>
    </row>
    <row r="1008" ht="15.75" customHeight="1">
      <c r="I1008" s="40"/>
    </row>
    <row r="1009" ht="15.75" customHeight="1">
      <c r="I1009" s="40"/>
    </row>
    <row r="1010" ht="15.75" customHeight="1">
      <c r="I1010" s="40"/>
    </row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conditionalFormatting sqref="I2:I1010">
    <cfRule type="cellIs" dxfId="5" priority="1" stopIfTrue="1" operator="equal">
      <formula>"Realizado"</formula>
    </cfRule>
  </conditionalFormatting>
  <conditionalFormatting sqref="I2:I1010">
    <cfRule type="cellIs" dxfId="6" priority="2" stopIfTrue="1" operator="equal">
      <formula>"En progreso"</formula>
    </cfRule>
  </conditionalFormatting>
  <conditionalFormatting sqref="I2:I1010">
    <cfRule type="cellIs" dxfId="7" priority="3" stopIfTrue="1" operator="equal">
      <formula>"Pendiente"</formula>
    </cfRule>
  </conditionalFormatting>
  <dataValidations>
    <dataValidation type="list" allowBlank="1" showErrorMessage="1" sqref="I2:I1010">
      <formula1>"Pendiente,En progreso,Realizado"</formula1>
    </dataValidation>
    <dataValidation type="list" allowBlank="1" showDropDown="1" showErrorMessage="1" sqref="B2:B67">
      <formula1>"Épica,Historia,Tarea"</formula1>
    </dataValidation>
    <dataValidation type="custom" allowBlank="1" showDropDown="1" sqref="F2:F178">
      <formula1>AND(ISNUMBER(F2),(NOT(OR(NOT(ISERROR(DATEVALUE(F2))), AND(ISNUMBER(F2), LEFT(CELL("format", F2))="D")))))</formula1>
    </dataValidation>
    <dataValidation type="list" allowBlank="1" showDropDown="1" sqref="D2:D178">
      <formula1>"OE1,OE2,OE3,OG,OE4,OE2, OE3,OE1, OE2, OE3,OG, OE1, OE2, OE3,OG, OE1, OE2, OE3, OE4,OE1, OE2,OG, OE1, OE2, OE4,OG, OE2, OE3, OE4,OE1, OE2, OE3, OE4,OG, OE3, OE4,OG, OE3, OE4,OG, OE3"</formula1>
    </dataValidation>
    <dataValidation type="list" allowBlank="1" showDropDown="1" showErrorMessage="1" sqref="E2:E67">
      <formula1>"Alta,Media"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3" width="22.0"/>
    <col customWidth="1" min="4" max="4" width="9.5"/>
    <col customWidth="1" min="5" max="5" width="11.75"/>
    <col customWidth="1" min="6" max="6" width="13.13"/>
    <col customWidth="1" min="7" max="7" width="15.2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46269.0</v>
      </c>
      <c r="C2" s="5" t="s">
        <v>8</v>
      </c>
      <c r="D2" s="6">
        <f>SUMIFS(Backlog!F:F,Backlog!B:B,"Tarea",Backlog!J:J,A2)</f>
        <v>74</v>
      </c>
      <c r="E2" s="8">
        <f>SUMIFS(Backlog!G:G,Backlog!B:B,"Tarea",Backlog!J:J,A2)</f>
        <v>73</v>
      </c>
      <c r="F2" s="8">
        <f>COUNTIFS(Backlog!B:B,"Tarea",Backlog!J:J,A2)</f>
        <v>20</v>
      </c>
      <c r="G2" s="8">
        <f>COUNTIFS(Backlog!B:B,"Tarea",Backlog!J:J,A2,Backlog!I:I,"Realizado")</f>
        <v>20</v>
      </c>
    </row>
    <row r="3">
      <c r="A3" s="3" t="s">
        <v>18</v>
      </c>
      <c r="B3" s="4">
        <v>46297.0</v>
      </c>
      <c r="C3" s="5" t="s">
        <v>19</v>
      </c>
      <c r="D3" s="3">
        <f>SUMIFS(Backlog!F:F,Backlog!B:B,"Tarea",Backlog!J:J,A3)</f>
        <v>74</v>
      </c>
      <c r="E3" s="8">
        <f>SUMIFS(Backlog!G:G,Backlog!B:B,"Tarea",Backlog!J:J,A3)</f>
        <v>77</v>
      </c>
      <c r="F3" s="8">
        <f>COUNTIFS(Backlog!B:B,"Tarea",Backlog!J:J,A3)</f>
        <v>43</v>
      </c>
      <c r="G3" s="8">
        <f>COUNTIFS(Backlog!B:B,"Tarea",Backlog!J:J,A3,Backlog!I:I,"Realizado")</f>
        <v>43</v>
      </c>
    </row>
    <row r="4">
      <c r="A4" s="3" t="s">
        <v>25</v>
      </c>
      <c r="B4" s="14">
        <v>46325.0</v>
      </c>
      <c r="C4" s="5" t="s">
        <v>26</v>
      </c>
      <c r="D4" s="3">
        <f>SUMIFS(Backlog!F:F,Backlog!B:B,"Tarea",Backlog!J:J,A4)</f>
        <v>115</v>
      </c>
      <c r="E4" s="8">
        <f>SUMIFS(Backlog!G:G,Backlog!B:B,"Tarea",Backlog!J:J,A4)</f>
        <v>67</v>
      </c>
      <c r="F4" s="8">
        <f>COUNTIFS(Backlog!B:B,"Tarea",Backlog!J:J,A4)</f>
        <v>47</v>
      </c>
      <c r="G4" s="8">
        <f>COUNTIFS(Backlog!B:B,"Tarea",Backlog!J:J,A4,Backlog!I:I,"Realizado")</f>
        <v>35</v>
      </c>
    </row>
    <row r="5">
      <c r="A5" s="3" t="s">
        <v>29</v>
      </c>
      <c r="B5" s="4">
        <v>46360.0</v>
      </c>
      <c r="C5" s="5" t="s">
        <v>30</v>
      </c>
      <c r="D5" s="6">
        <f>SUMIFS(Backlog!F:F,Backlog!B:B,"Tarea",Backlog!J:J,A5)</f>
        <v>122</v>
      </c>
      <c r="E5" s="8">
        <f>SUMIFS(Backlog!G:G,Backlog!B:B,"Tarea",Backlog!J:J,A5)</f>
        <v>0</v>
      </c>
      <c r="F5" s="8">
        <f>COUNTIFS(Backlog!B:B,"Tarea",Backlog!J:J,A5)</f>
        <v>25</v>
      </c>
      <c r="G5" s="8">
        <f>COUNTIFS(Backlog!B:B,"Tarea",Backlog!J:J,A5,Backlog!I:I,"Realizado")</f>
        <v>0</v>
      </c>
    </row>
    <row r="6">
      <c r="A6" s="16"/>
      <c r="B6" s="16"/>
      <c r="C6" s="16"/>
      <c r="D6" s="16"/>
    </row>
    <row r="7">
      <c r="A7" s="1" t="s">
        <v>35</v>
      </c>
      <c r="B7" s="1" t="s">
        <v>36</v>
      </c>
      <c r="C7" s="16"/>
      <c r="D7" s="16"/>
    </row>
    <row r="8">
      <c r="A8" s="17" t="s">
        <v>38</v>
      </c>
      <c r="B8" s="18">
        <f>SUM(D2:D5)</f>
        <v>385</v>
      </c>
      <c r="C8" s="16"/>
      <c r="D8" s="16"/>
    </row>
    <row r="9">
      <c r="A9" s="17" t="s">
        <v>39</v>
      </c>
      <c r="B9" s="18">
        <f>SUM(E2:E5)</f>
        <v>217</v>
      </c>
      <c r="C9" s="16"/>
      <c r="D9" s="16"/>
    </row>
    <row r="10">
      <c r="A10" s="19" t="s">
        <v>5</v>
      </c>
      <c r="B10" s="8">
        <f>SUM(F2:F5)</f>
        <v>135</v>
      </c>
    </row>
    <row r="11">
      <c r="A11" s="19" t="s">
        <v>6</v>
      </c>
      <c r="B11" s="8">
        <f>SUM(G2:G5)</f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